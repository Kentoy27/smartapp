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xampp\htdocs\smartapp\storage\forms\"/>
    </mc:Choice>
  </mc:AlternateContent>
  <xr:revisionPtr revIDLastSave="0" documentId="13_ncr:1_{649FD690-2509-4582-9D23-D118D1EF15A4}" xr6:coauthVersionLast="47" xr6:coauthVersionMax="47" xr10:uidLastSave="{00000000-0000-0000-0000-000000000000}"/>
  <bookViews>
    <workbookView xWindow="-120" yWindow="-120" windowWidth="24240" windowHeight="13020" xr2:uid="{00000000-000D-0000-FFFF-FFFF00000000}"/>
  </bookViews>
  <sheets>
    <sheet name="PART I (CY 2025 &amp; SY2025-2026)" sheetId="1" r:id="rId1"/>
    <sheet name="PART II" sheetId="2" r:id="rId2"/>
    <sheet name="PART III" sheetId="3" r:id="rId3"/>
    <sheet name="PART IV" sheetId="4" r:id="rId4"/>
  </sheets>
  <definedNames>
    <definedName name="_xlnm.Print_Area" localSheetId="0">'PART I (CY 2025 &amp; SY2025-2026)'!$B$1:$V$156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vcjvau/8wB+FsG4YXLefzX0tLAn84hFMDUP2dA3p3WY="/>
    </ext>
  </extLst>
</workbook>
</file>

<file path=xl/calcChain.xml><?xml version="1.0" encoding="utf-8"?>
<calcChain xmlns="http://schemas.openxmlformats.org/spreadsheetml/2006/main">
  <c r="U19" i="1" l="1"/>
  <c r="U86" i="1"/>
  <c r="V86" i="1" s="1"/>
  <c r="U40" i="1"/>
  <c r="V40" i="1" s="1"/>
  <c r="J50" i="2" l="1"/>
  <c r="J45" i="2"/>
  <c r="J40" i="2"/>
  <c r="J35" i="2"/>
  <c r="J30" i="2"/>
  <c r="J25" i="2"/>
  <c r="J16" i="2"/>
  <c r="J11" i="2"/>
  <c r="J6" i="2"/>
  <c r="D151" i="1"/>
  <c r="U125" i="1"/>
  <c r="V125" i="1" s="1"/>
  <c r="U122" i="1"/>
  <c r="V122" i="1" s="1"/>
  <c r="U119" i="1"/>
  <c r="V119" i="1" s="1"/>
  <c r="U92" i="1"/>
  <c r="V92" i="1" s="1"/>
  <c r="U89" i="1"/>
  <c r="V89" i="1" s="1"/>
  <c r="U83" i="1"/>
  <c r="V83" i="1" s="1"/>
  <c r="U73" i="1"/>
  <c r="V73" i="1" s="1"/>
  <c r="U70" i="1"/>
  <c r="V70" i="1" s="1"/>
  <c r="U67" i="1"/>
  <c r="V67" i="1" s="1"/>
  <c r="U64" i="1"/>
  <c r="V64" i="1" s="1"/>
  <c r="U61" i="1"/>
  <c r="V61" i="1" s="1"/>
  <c r="U58" i="1"/>
  <c r="V58" i="1" s="1"/>
  <c r="U55" i="1"/>
  <c r="V55" i="1" s="1"/>
  <c r="U52" i="1"/>
  <c r="V52" i="1" s="1"/>
  <c r="U49" i="1"/>
  <c r="V49" i="1" s="1"/>
  <c r="U46" i="1"/>
  <c r="V46" i="1" s="1"/>
  <c r="U43" i="1"/>
  <c r="V43" i="1" s="1"/>
  <c r="U37" i="1"/>
  <c r="V37" i="1" s="1"/>
  <c r="U25" i="1"/>
  <c r="V25" i="1" s="1"/>
  <c r="U22" i="1"/>
  <c r="V22" i="1" s="1"/>
  <c r="V19" i="1"/>
  <c r="U16" i="1"/>
  <c r="V112" i="1" l="1"/>
  <c r="F8" i="3" s="1"/>
  <c r="V76" i="1"/>
  <c r="F7" i="3" s="1"/>
  <c r="V146" i="1"/>
  <c r="F9" i="3" s="1"/>
  <c r="J55" i="2"/>
  <c r="F11" i="3" s="1"/>
  <c r="J21" i="2"/>
  <c r="F10" i="3" s="1"/>
  <c r="G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16" authorId="0" shapeId="0" xr:uid="{00000000-0006-0000-0000-000001000000}">
      <text>
        <r>
          <rPr>
            <sz val="11"/>
            <color theme="1"/>
            <rFont val="Aptos Narrow"/>
            <scheme val="minor"/>
          </rPr>
          <t>======
ID#AAABrlInFuI
tc={F461A50B-A9EF-C140-9765-88D1576B05CD}    (2024-01-08 09:18:03)
[Threaded comment]
Your version of Excel allows you to read this threaded comment; however, any edits to it will get removed if the file is opened in a newer version of Excel. Learn more: https://go.microsoft.com/fwlink/?linkid=870924
Comment:
    Quality: based on established standards
E.g. The policies issued underwent … based on the policy formulation standards… incorporating all comment of the…
(Measure the consistency in following the process/standards of policy formulation)
Reply:
    Measured through the quality of targeted/assigned HR interventions approved by the Director with the following output indicators/elements:</t>
        </r>
      </text>
    </comment>
    <comment ref="L17" authorId="0" shapeId="0" xr:uid="{00000000-0006-0000-0000-000002000000}">
      <text>
        <r>
          <rPr>
            <sz val="11"/>
            <color theme="1"/>
            <rFont val="Aptos Narrow"/>
            <scheme val="minor"/>
          </rPr>
          <t>======
ID#AAABrlInFuE
tc={A91A47AA-777E-6241-BC4F-23E1F81DF858}    (2024-01-08 09:18:03)
[Threaded comment]
Your version of Excel allows you to read this threaded comment; however, any edits to it will get removed if the file is opened in a newer version of Excel. Learn more: https://go.microsoft.com/fwlink/?linkid=870924
Comment:
    Measured through % of policies submitted and/or presented to the Director for approval; commented upon by such and provided responses to said comments; and/or integrated into the proposed policy action document.</t>
        </r>
      </text>
    </comment>
  </commentList>
  <extLst>
    <ext xmlns:r="http://schemas.openxmlformats.org/officeDocument/2006/relationships" uri="GoogleSheetsCustomDataVersion2">
      <go:sheetsCustomData xmlns:go="http://customooxmlschemas.google.com/" r:id="rId1" roundtripDataSignature="AMtx7miTlJQKf07RAI59IHfE8mWuHjQCPg=="/>
    </ext>
  </extLst>
</comments>
</file>

<file path=xl/sharedStrings.xml><?xml version="1.0" encoding="utf-8"?>
<sst xmlns="http://schemas.openxmlformats.org/spreadsheetml/2006/main" count="825" uniqueCount="619">
  <si>
    <t>Name of Employee:</t>
  </si>
  <si>
    <t xml:space="preserve">Position/Designation: </t>
  </si>
  <si>
    <t xml:space="preserve">Position: </t>
  </si>
  <si>
    <t xml:space="preserve">Review Period:  </t>
  </si>
  <si>
    <t>Approving Authority:</t>
  </si>
  <si>
    <t xml:space="preserve">Strand/Bureau/Center/Service/Region/Division: </t>
  </si>
  <si>
    <t>Date of Review:</t>
  </si>
  <si>
    <t xml:space="preserve">Strand/Bureau/Center/Service/Region/Division Statement of Purpose: </t>
  </si>
  <si>
    <t>TO BE ACCOMPLISHED DURING PLANNING</t>
  </si>
  <si>
    <t>TO BE FILLED DURING EVALUATION</t>
  </si>
  <si>
    <t>Organizational Outcomes Alignment</t>
  </si>
  <si>
    <t>Timeline</t>
  </si>
  <si>
    <t>Weight Allocation</t>
  </si>
  <si>
    <t>Rating Scale</t>
  </si>
  <si>
    <t>Means of Verification (MOVs)</t>
  </si>
  <si>
    <t>Actual Accomplishments</t>
  </si>
  <si>
    <t>RATING
(Q,E,T)</t>
  </si>
  <si>
    <t>AVERAGE
(QET)</t>
  </si>
  <si>
    <t>WEIGHTED AVERAGE</t>
  </si>
  <si>
    <t>5
(Outstanding)</t>
  </si>
  <si>
    <t>4
(Very Satisfactory)</t>
  </si>
  <si>
    <t>3
(Satisfactory)</t>
  </si>
  <si>
    <t>2
(Unsatisfactory)</t>
  </si>
  <si>
    <t>1
(Poor)</t>
  </si>
  <si>
    <t>GAA Programs/ Subprograms</t>
  </si>
  <si>
    <t>BEDP Pillars</t>
  </si>
  <si>
    <t>Current Administration Agenda</t>
  </si>
  <si>
    <t>Education Human Resource Development Program</t>
  </si>
  <si>
    <t>X number of policies formulated, reviewed, and issued</t>
  </si>
  <si>
    <t>Human Resource Development</t>
  </si>
  <si>
    <t xml:space="preserve">Objective 1: Ensured preparation of HR policies, guidelines, and standards that are Bureau-initiated, or may be assigned by the EXECOM for issuance; compliant with PRIME-HRM standards and national guidelines geared towards competency-based HR system within the set scheduled deadline.
</t>
  </si>
  <si>
    <t>January to December 2024</t>
  </si>
  <si>
    <t>Quality</t>
  </si>
  <si>
    <t>Policy deliverables submitted followed the set standards in policy formulation and met all 5 indicators</t>
  </si>
  <si>
    <t>Efficiency</t>
  </si>
  <si>
    <t>13 out of 15 (87%) policy deliverables were submitted and/or presented to the Director and/or EXECOM for approval</t>
  </si>
  <si>
    <t>Timeliness</t>
  </si>
  <si>
    <t xml:space="preserve">Endorsed to the Office of the Director before the deadline set </t>
  </si>
  <si>
    <t xml:space="preserve">Endorsed to the Office of the Director on the deadline set </t>
  </si>
  <si>
    <t xml:space="preserve">Endorsed to the Office of the Director two weeks after the deadline 
</t>
  </si>
  <si>
    <t xml:space="preserve">Endorsed to the Office of the Director one month after the deadline </t>
  </si>
  <si>
    <t>Endorsed to the Office of the Director more than one month</t>
  </si>
  <si>
    <t>13 policy deliberables endorsed to the Office of the Director before the deadline set</t>
  </si>
  <si>
    <t xml:space="preserve">School Leadership and Administration </t>
  </si>
  <si>
    <t>Pillar 1: Access
Pillar 2: Equity
Pillar 3: Quality</t>
  </si>
  <si>
    <t>1.	High Performing Teachers 
2.	Learners’ physical and mental well-being protection 
3.	Efficient and supportive governance structure 
4.	High Quality Education</t>
  </si>
  <si>
    <t>Implemented the School Improvement Plan (SIP) through Work and Financial Plan (WFP) and Annual Implementation Plan (AIP).</t>
  </si>
  <si>
    <t>AIP activities aligned with the approved WFP and SIP</t>
  </si>
  <si>
    <t>Approved activities completed are:
a. leading towards attainment of key deliverables
b. carefully designed to suit school expectations
c. complete with necessary evidence requirements
d. activity outputs served as reference to ensure timeliness of key deliverables</t>
  </si>
  <si>
    <t>Approved activities are completed with documented non-compliance to any one (1) of the critical elements in items a, b, c, and d.</t>
  </si>
  <si>
    <t>Approved activities are completed with documented non-compliance to any one (2) of the critical elements in items a, b, c, and d.</t>
  </si>
  <si>
    <t>Approved activities   are completed with documented non-compliance to any one (3) of the critical elements in items a, b, c, and d.</t>
  </si>
  <si>
    <t>Approved activitie are completed with documented non-compliance to all the critical elements in items a, b, c, and d.</t>
  </si>
  <si>
    <t>Approved Work and Financial Plan (WFP) and Annual Implementation Plan (AIP)</t>
  </si>
  <si>
    <t>1 Work and Financial Plan (WFP)                                    1 Annual Implementation Plan (AIP)</t>
  </si>
  <si>
    <t xml:space="preserve">76-90% of AIP activities aligned with the approved SIP through Work and Financial Plan (WFP) and Annual Implementation Plan (AIP).are conducted/ implemented </t>
  </si>
  <si>
    <t xml:space="preserve">51-75%of AIP activities aligned with the approved SIP through Work and Financial Plan (WFP) and Annual Implementation Plan (AIP).are conducted/ implemented  </t>
  </si>
  <si>
    <t xml:space="preserve">26-50% of AIP activities aligned with the approved SIP through Work and Financial Plan (WFP) and Annual Implementation Plan (AIP).are conducted/ implemented  </t>
  </si>
  <si>
    <t xml:space="preserve">0-25% of AIP activities aligned with the approved SIP through Work and Financial Plan (WFP) and Annual Implementation Plan (AIP).are conducted/ implemented  </t>
  </si>
  <si>
    <t>Completed activities are ahead the targeted period of conduct</t>
  </si>
  <si>
    <t>Completed activities are within the targeted period of conduct</t>
  </si>
  <si>
    <t>Completed activities with a delay of one (1) month from the targeted period of conduct</t>
  </si>
  <si>
    <t>Completed activities with a delay of one (1) quarter from the targeted period of conduct</t>
  </si>
  <si>
    <t>Completed activities with a delay of one (1) semester from the targeted period of conduct</t>
  </si>
  <si>
    <t>Inclusive Education</t>
  </si>
  <si>
    <t>Pillar 3: Quality</t>
  </si>
  <si>
    <t xml:space="preserve">1.	High Performing Teachers  
4.	High Quality Education </t>
  </si>
  <si>
    <t>Implemented Instructional Supervision in the delivery and/or implementation of learning modalities</t>
  </si>
  <si>
    <t xml:space="preserve"> Instructional Supervision Plans</t>
  </si>
  <si>
    <t xml:space="preserve">Submitted ISPs to address school instuction improvement needs with the following indicators: a. Timeline    b. Key Focus Area    c. Target Teachers    d. IS Strategies/activities </t>
  </si>
  <si>
    <t>Submitted ISPs to address school instuction improvement needs with 3 indicators only</t>
  </si>
  <si>
    <t>Submitted ISPs to address school instuction improvement needs with 2 indicators only</t>
  </si>
  <si>
    <t>Submitted ISPs to address school instuction improvement needs with 1 indicators only</t>
  </si>
  <si>
    <t xml:space="preserve">No submitted ISPs to address school instuction improvement needs </t>
  </si>
  <si>
    <t>Approved ISP                       Approved MISAR</t>
  </si>
  <si>
    <t>Approved ISP              Approved MISAR</t>
  </si>
  <si>
    <t>10 ISPs Approved</t>
  </si>
  <si>
    <t>9 ISPs Approved</t>
  </si>
  <si>
    <t>8 ISPs Approved</t>
  </si>
  <si>
    <t>7 ISPs Approved</t>
  </si>
  <si>
    <t>less than 6 ISPs Approved</t>
  </si>
  <si>
    <t xml:space="preserve"> ISPs were submitted 5 days before the implementation  </t>
  </si>
  <si>
    <t xml:space="preserve">ISPs were submitted 3 days before the implementation  </t>
  </si>
  <si>
    <t xml:space="preserve">ISPs were submitted 2 days before the implementation  </t>
  </si>
  <si>
    <t xml:space="preserve">ISPs were submitted 1 days before the implementation  </t>
  </si>
  <si>
    <t xml:space="preserve">No submission of IS for the month </t>
  </si>
  <si>
    <t>Support to Learners and Schools</t>
  </si>
  <si>
    <t>Enabling Mechanism</t>
  </si>
  <si>
    <t>3.	Efficient and supportive governance</t>
  </si>
  <si>
    <t xml:space="preserve">Total amount genreated from partners/donors engaged/involved in the school activities/programs/projects annually:                                                       (Php 30,000 and above)
</t>
  </si>
  <si>
    <t xml:space="preserve">Any 1 delayed submission 
</t>
  </si>
  <si>
    <t xml:space="preserve">Any 2 delayed submission 
</t>
  </si>
  <si>
    <t xml:space="preserve">Any 3 delayed submissions 
</t>
  </si>
  <si>
    <t>4 or more  delayed submissions</t>
  </si>
  <si>
    <t>95-119 partners/donors engaged/involvedin the school activities/programs/projects annually - 4 pts</t>
  </si>
  <si>
    <t>Php 10,000-14,999 - 3 pts</t>
  </si>
  <si>
    <t>Php 5,000-9,999 - 2 pts</t>
  </si>
  <si>
    <t>75-94 partners/donors engaged/involved in the school activities/programs/projects annually - 3 pts</t>
  </si>
  <si>
    <t>Below Php 5,000 - 1 pt</t>
  </si>
  <si>
    <t>55-74 partners/donors engaged/involved in the school activities/programs/projects annually - 2 pts</t>
  </si>
  <si>
    <t>less than 55 partners/donors engaged/involved in the school activities/programs/projects annually - 1 pt</t>
  </si>
  <si>
    <t>Teaching and Lerning Delivery</t>
  </si>
  <si>
    <t>Support to Schools and Learners Program</t>
  </si>
  <si>
    <t>Raise education Quality through Upgraded Curriculum, Modernized Assessment and Digitally Enabled Schools</t>
  </si>
  <si>
    <t>Achieved 100% Promotion Rate of Learners in Elementary/Secondary/Integrated Schools</t>
  </si>
  <si>
    <t>Promotion Rate</t>
  </si>
  <si>
    <t>Achieved 100% Promotion Rate</t>
  </si>
  <si>
    <t>Achieved 76%-99% Promotion Rate</t>
  </si>
  <si>
    <t>Achieved 51%-75% Promotion Rate</t>
  </si>
  <si>
    <t>Achieved 26%-50% Promotion Rate</t>
  </si>
  <si>
    <t>Achieved 1%-25% Promotion Rate</t>
  </si>
  <si>
    <t>Report on Promotion Rate (School Form 6)</t>
  </si>
  <si>
    <t>Report on Promotion Rate (SF6) stamped received and signed by appropriate signatories.</t>
  </si>
  <si>
    <t>Submitted Report on Promotion on or before the deadline</t>
  </si>
  <si>
    <t>Submitted Report on Promotion 1-3 days after the deadline</t>
  </si>
  <si>
    <t>Submitted Report on Promotion 4-5 days after the deadline</t>
  </si>
  <si>
    <t>Submitted Report on Promotion 6-7 days after the deadline</t>
  </si>
  <si>
    <t>No Submitted Report</t>
  </si>
  <si>
    <t>Achieved 100% Completion Rate of Learners in Elementary/Secondary/Integrated Schools</t>
  </si>
  <si>
    <t>Graduation Rate</t>
  </si>
  <si>
    <t>Achieved 100% Graduation  Rate</t>
  </si>
  <si>
    <t>Achieved 76%-99% Graduation Rate</t>
  </si>
  <si>
    <t>Achived 51%-75% Graduation Rate</t>
  </si>
  <si>
    <t>Achieved 26%-50% Graduiation Rate</t>
  </si>
  <si>
    <t>Achieved 1%-25% Graduation Rate</t>
  </si>
  <si>
    <t>Report on Graduation Rate (Sf 6)stamped received and signed by appropriate signatories.</t>
  </si>
  <si>
    <t>Report on Graduation Rate (SF6)  stamped received and signed by appropriate signatories.</t>
  </si>
  <si>
    <t>Submitted Report on Graduation  on deadline</t>
  </si>
  <si>
    <t>Submitted Report on Graduation 1-3 days after the deadline</t>
  </si>
  <si>
    <t>Submitted Report on Completion  4-5 days after  the deadline</t>
  </si>
  <si>
    <t>Submitted Report on Completion 6-7 days after the deadline</t>
  </si>
  <si>
    <t>Report on Graduation was not submitted</t>
  </si>
  <si>
    <t>Improved the Quarterly Assessment Result in Elementary/Secondary/ Integrated School</t>
  </si>
  <si>
    <t>4 (1 per quarter)</t>
  </si>
  <si>
    <t>Quarterly Assessment with Analysis</t>
  </si>
  <si>
    <t>Achieved  80-100% MPS result with analysis</t>
  </si>
  <si>
    <t>Achieved 70%-79% MPS result with analysis</t>
  </si>
  <si>
    <t>Achieved 50%-69% MPS Result with Analysis</t>
  </si>
  <si>
    <t>Achieved 30%-49% MPS Result with Analysis</t>
  </si>
  <si>
    <t>Achieved  0%-29% MPS Result with Analysis</t>
  </si>
  <si>
    <t xml:space="preserve">Reports on MPS with Analysis </t>
  </si>
  <si>
    <t>Reports on MPS with Analysis stamped received and signed by appropriate signatories.</t>
  </si>
  <si>
    <t xml:space="preserve">Submitted 4 Quarterly Reports </t>
  </si>
  <si>
    <t xml:space="preserve">Submitted 3 Quarterly Reports </t>
  </si>
  <si>
    <t xml:space="preserve">Submitted 2 Quarterly Reports </t>
  </si>
  <si>
    <t>Submitted 1 Quarterly Report</t>
  </si>
  <si>
    <t>No Report submitted</t>
  </si>
  <si>
    <t>MPS Result with Analysis  were submitted 5 days before the deadline</t>
  </si>
  <si>
    <t>MPS Result with Analysis  were submitted 3  days before the deadline</t>
  </si>
  <si>
    <t>MPS Result with Analysis  were submitted on the deadline</t>
  </si>
  <si>
    <t>MPS Result with Analysis  were not submitted</t>
  </si>
  <si>
    <t>Education Policy Deveopment Program</t>
  </si>
  <si>
    <t>Conducted educational research based on the results of assessments</t>
  </si>
  <si>
    <t>Crafted action research/basic resarch for policy brief.</t>
  </si>
  <si>
    <t>Conducted action research with the ff indicators:                                                        1. Conducted and completed a well-structured research directly anchored on assessment results addressing a major learning or performance gap.
2. Validated and presented/published in a division, regional, or national research forum.
3. Findings were utilized for SIP/AIP, instructional supervision, or program enhancement.                                                    4. Provided mentoring or coaching to teachers on research writing or implementation.</t>
  </si>
  <si>
    <t>1. Completed a well-documented research aligned with assessment results.                       2. Validated or approved by the Division Research Committee.
3. Findings were used to improve instruction or learner performance.</t>
  </si>
  <si>
    <t>1. Completed a research study based on assessment data.
2. Findings were shared with teachers for instructional improvement.</t>
  </si>
  <si>
    <t>1. Submitted an incomplete or weakly aligned research output with limited linkage to assessment data.</t>
  </si>
  <si>
    <t>1. Failed to conduct or submit any research output.</t>
  </si>
  <si>
    <t>Approved Research Proposal and Final Report
• Division/School Research Committee Validation Form
• Certificate of Presentation/Publication
• SIP/AIP Integration or Utilization Report
• Mentoring/Coaching Documentation</t>
  </si>
  <si>
    <t xml:space="preserve"> 1. Conducted the research with efficient use of time, data, and resources, meeting all standards.
 2. Demonstrated initiative and leadership by guiding other teachers or forming a school research team.
3. Produced outputs beyond expectations (e.g., supplementary materials, posters, or digital resources).                                                        4. Ensured accuracy and coherence of results, requiring no major revisions.</t>
  </si>
  <si>
    <t>1. Conducted research independently and efficiently within planned timelines and available resources.
2. Completed with minor revisions after validation.
3. Results were applied to improve learning delivery or school management.</t>
  </si>
  <si>
    <t>1. Conducted the research with some supervision.
2. Utilized resources adequately and met minimum standards.</t>
  </si>
  <si>
    <t xml:space="preserve"> Required close supervision and multiple corrections before completion.</t>
  </si>
  <si>
    <t>Failed to complete or manage research activities despite available support.</t>
  </si>
  <si>
    <t>1. Research was completed, validated, and disseminated ahead of schedule.
2. Results integrated immediately into SIP/AIP or teaching plans.                                              3. Findings were presented or shared within the same school year.
4. Demonstrated proactive submission and utilization of findings.</t>
  </si>
  <si>
    <t>1. Research completed and submitted on or before the target deadline.
 2. Findings disseminated for school-level utilization.
 3. Results aligned with division timelines.</t>
  </si>
  <si>
    <t>1. Research completed slightly beyond deadline but still relevant and utilized.
2. Findings partially disseminated or used.</t>
  </si>
  <si>
    <t>Research submitted significantly late, limiting its usefulness for current school planning.</t>
  </si>
  <si>
    <t>No research submitted or dissemination conducted within the evaluation period</t>
  </si>
  <si>
    <t>Learner Formation and Development</t>
  </si>
  <si>
    <t>Resiliency and Well-Being</t>
  </si>
  <si>
    <t>Improved Learning Environments that Safeguards Students' Physical and Mental Well-Being</t>
  </si>
  <si>
    <t>Created a safe, healthy, and conducive learning environment by promoting hygiene, sanitation, and health practices to improve learning outcomes</t>
  </si>
  <si>
    <t>Validated WINs Three-Star Approach Report</t>
  </si>
  <si>
    <t>Achieved 3 stars based on the WINs themes and criteria</t>
  </si>
  <si>
    <t>Achieved 2 stars based on the WINs themes and criteria</t>
  </si>
  <si>
    <t>Achieved 1 star based on the WINs themes and criteria</t>
  </si>
  <si>
    <t>Achieved 0 star based on the WINs themes and criteria</t>
  </si>
  <si>
    <t>No submission of report</t>
  </si>
  <si>
    <t>WINs Three-Star Approach Report</t>
  </si>
  <si>
    <t>Approved WINs Three-Star Approach Report</t>
  </si>
  <si>
    <t>Validated with 0 error/compliance</t>
  </si>
  <si>
    <t>Validated with 1-3 errors/compliances</t>
  </si>
  <si>
    <t>Validated with 4-6 errors/compliances</t>
  </si>
  <si>
    <t>Validated with 7 or more errors/compliances</t>
  </si>
  <si>
    <t>No validation of report</t>
  </si>
  <si>
    <t>Submitted on or before the deadline</t>
  </si>
  <si>
    <t>Submitted a week after the deadline</t>
  </si>
  <si>
    <t>Submitted 2 weeks after the deadline</t>
  </si>
  <si>
    <t>Submitted 3 weeks after the deadline</t>
  </si>
  <si>
    <t>Submitted a month or beyond after the deadline</t>
  </si>
  <si>
    <t>Implemented and managed  programs in the school that support the development of learners</t>
  </si>
  <si>
    <t xml:space="preserve">Conducted School Programs and Activities </t>
  </si>
  <si>
    <t>Conducted 5 or more programs and activities reflected in the ACR with the following indicators:  a. objectives  b. findings/observation/synthesis  c. plan of action   d. photos</t>
  </si>
  <si>
    <t>Conducted 4 programs and activities reflected in the ACR with the following indicators:                                                 a. objectives  b. findings/observation/synthesis                                                              c. plan of action                                                                          d. photos</t>
  </si>
  <si>
    <t>Conducted 3 programs and activities reflected in the ACR with the following indicators:                                                 a. objectives                                                                                 b. findings/observation/synthesis                                                              c. plan of action                                                                          d. photos</t>
  </si>
  <si>
    <t>Conducted 2 programs and activities reflected in the ACR with the following indicators:                                                 a. objectives                                                                                 b. findings/observation/synthesis                                                              c. plan of action                                                                          d. photos</t>
  </si>
  <si>
    <t>Conducted 1 programs and activities reflected in the ACR with the following indicators:                                                 a. objectives                                                                                 b. findings/observation/synthesis                                                              c. plan of action                                                                          d. photos</t>
  </si>
  <si>
    <t>ACR of the School Programs and Activities (e.g. Buwan ng Wika, Intramurals, NSED, Nutrition Month, Scilympics, etc)</t>
  </si>
  <si>
    <t>Approved ACR of the School Programs and Activities (e.g. Buwan ng Wika, Intramurals, NSED, Nutrition Month, Scilympics, etc)</t>
  </si>
  <si>
    <t>Submitted with 0 error/compliance</t>
  </si>
  <si>
    <t>Submitted with 1-3 errors/compliances</t>
  </si>
  <si>
    <t>Submitted with 4-6 errors/compliances</t>
  </si>
  <si>
    <t>Submitted with 7 or more errors/compliances</t>
  </si>
  <si>
    <t>Submitted a week after the conduct</t>
  </si>
  <si>
    <t>Submitted 2 weeks after the conduct</t>
  </si>
  <si>
    <t>Submitted 3 weeks after the conduct</t>
  </si>
  <si>
    <t>Submitted 4 weeks after the conduct</t>
  </si>
  <si>
    <t>Submitted 5 weeks or beyond after the conduct</t>
  </si>
  <si>
    <t xml:space="preserve">Ensured learning continuity and school preparedness, management, and recovery in times of calamity  </t>
  </si>
  <si>
    <t>Contigency Plan and WeeLMat Monitoring Tool</t>
  </si>
  <si>
    <t>Approved Contigency Plan and WeeLMat Monitoring Tool</t>
  </si>
  <si>
    <t>Provided learners a child-friendly, inclusive and motivating learning  environment</t>
  </si>
  <si>
    <t>Validated Child-Friendly School System (CFSS) Report</t>
  </si>
  <si>
    <t>Achieved 35 points or higher or a very oustanding child-friendly school</t>
  </si>
  <si>
    <t>Achieved at least 30 points but lower than 35 points or an oustanding child-friendly school</t>
  </si>
  <si>
    <t>Achieved at least 25 points but lower than 30 points or a child-friendly school</t>
  </si>
  <si>
    <t>Achieved at least 20 points but lower than 25 points</t>
  </si>
  <si>
    <t>Achieved at least 15 points but lower than 20 points</t>
  </si>
  <si>
    <t>Child-Friendly School System (CFSS) Report</t>
  </si>
  <si>
    <t>Approved Child-Friendly School System (CFSS) Report</t>
  </si>
  <si>
    <t>School  Operations and Management</t>
  </si>
  <si>
    <t>Agenda 1: High-Performing Teachers</t>
  </si>
  <si>
    <t>Developed program designs and implemented programs for professional development of Teachers</t>
  </si>
  <si>
    <t>Approved INSET Training Design/ LAC Plan  &amp;              Implemented INSET &amp;  LAC Sessions</t>
  </si>
  <si>
    <t xml:space="preserve">Submitted 1 Approved INSET Training Design, 1 Approved LAC Plan with atleast 4 LAC sessions, ,5  Attendance Sheets and 5 Activity Completion Report </t>
  </si>
  <si>
    <t xml:space="preserve"> Submitted1 Approved NSET Training Design, 3 Approved LAC Plans,4  Attendance Sheets and 4  Activity Completion Report </t>
  </si>
  <si>
    <t>Submitted 1 Approved INSET Training Design, 2 Approved LAC Plans ,3  Attendance Sheets and 3  Activity Completion Report were submitted</t>
  </si>
  <si>
    <t xml:space="preserve"> Submitted 1 Approved  INSET Training Design, 1 Approved  LAC Plan ,2  Attendance Sheets and 2  Activity Completion Reports </t>
  </si>
  <si>
    <t xml:space="preserve">Submitted 1 Approved  INSET Training Design, 0 Approved LAC Plan , 1  Attendance Sheet and1  Activity Completion Report </t>
  </si>
  <si>
    <t xml:space="preserve">*Approved LAC Plan / Approved INSET Training Design                          * Attendance Sheet                                   *Activity Completion Reports (ACR) received and approved by appropriate signatories </t>
  </si>
  <si>
    <t xml:space="preserve">Conducted1 INSET and 3 LAC Sessions from June 2025-March 2026  </t>
  </si>
  <si>
    <t xml:space="preserve">Conducted 1 INSET and 2 LAC Sessions from June 2025-March 2026 </t>
  </si>
  <si>
    <t xml:space="preserve">Conducted 1 INSET and 1 LAC Session from June 2025-March 2026 </t>
  </si>
  <si>
    <t xml:space="preserve">Conducted 1 INSET and 0 LAC Sessions from June 2025-March 2026 </t>
  </si>
  <si>
    <t>Submitted Activity Completion Report 2 weeks after the conduct of LAC Session/ INSET</t>
  </si>
  <si>
    <t xml:space="preserve"> Submitted Activity Completion Report submitted 3 weeks after the conduct of LAC Session/ INSET</t>
  </si>
  <si>
    <t xml:space="preserve"> Submitted Activity Completion Report  4 weeks after the conduct of LAC Session/ INSET</t>
  </si>
  <si>
    <t>Submitted  Activity Completion Report 5 weeks or beyond  after the conduct of LAC Session/ INSET</t>
  </si>
  <si>
    <t>No submission</t>
  </si>
  <si>
    <t>Rated the performance of teachers for School Year 2025–2026, ensuring fairness and alignment with standards.</t>
  </si>
  <si>
    <t>depends on the number of teachers</t>
  </si>
  <si>
    <t>Rated Teachers  for SY 2025-2026</t>
  </si>
  <si>
    <t>0 complaints of performance ratings of teachers</t>
  </si>
  <si>
    <t>With at least 1 complaint on the performance rating of teachers</t>
  </si>
  <si>
    <t xml:space="preserve">Summary of Ratings eIPCRF Summary </t>
  </si>
  <si>
    <t>Rated 100% of the teachers  within schedule</t>
  </si>
  <si>
    <t>Rated 76%-99% of the teachers within schedule</t>
  </si>
  <si>
    <t>Rated 51%-75% of the teachers  within schedule</t>
  </si>
  <si>
    <t>Rated 26%-50% of the teachers within schedule</t>
  </si>
  <si>
    <t>Rated 1%-25% of the teachers within schedule</t>
  </si>
  <si>
    <t>Submitted IPCRF Ratings of Teachers for SY 2025-2026  on of before the deadline</t>
  </si>
  <si>
    <t>Submitted IPCRF Ratings of Teachers for SY 2025-2026 1 week  after the deadline</t>
  </si>
  <si>
    <t>Submitted IPCRF Ratings of Teachers for SY 2025-2026 2 weeks after the deadline</t>
  </si>
  <si>
    <t>Submitted IPCRF Ratings of Teachers for SY 2025-2026  3 weeks after the deadline</t>
  </si>
  <si>
    <t>Submitted IPCRF Ratings of Teachers for SY 2025-2026  a month or beyond after the deadline</t>
  </si>
  <si>
    <t>To ensure that teachers and personnel comply with policy on attendance</t>
  </si>
  <si>
    <t>10 ROA</t>
  </si>
  <si>
    <t>Approved Report on Absences</t>
  </si>
  <si>
    <t>Report on Absences</t>
  </si>
  <si>
    <t>Agenda 3: Enhanced Governance Structure to ensure Efficient and Supportive Education System</t>
  </si>
  <si>
    <t>Ensured that teaching loads were equitably distributed among teachers.</t>
  </si>
  <si>
    <t>Approved   SF7</t>
  </si>
  <si>
    <t>100% of the teachers were given at least 6 hours of actual teaching loads</t>
  </si>
  <si>
    <t>76%-99% of the teachers were given at least 6 hours of actual teaching loads</t>
  </si>
  <si>
    <t>51%-75% of the teachers were given at least 6 hours of actual teaching loads</t>
  </si>
  <si>
    <t>26%-50% of the teachers were given at least 6 hours of actual teaching loads</t>
  </si>
  <si>
    <t>1%-25% of the teachers were given at least 6 hours of actual teaching loads</t>
  </si>
  <si>
    <t>Basic Education Inputs Program</t>
  </si>
  <si>
    <t>Enabling Mechanisms</t>
  </si>
  <si>
    <t>Agenda 3: Enhanced Governance Structure to ensure Efficient and Supportive Education Syatem</t>
  </si>
  <si>
    <t>Conducted  School Program Implementation Review and Adjustment ( SPIRPA)</t>
  </si>
  <si>
    <t>Conducted SPIRPA</t>
  </si>
  <si>
    <t>Submitted 4 SPIRPA Reports/ presentations with 0 corrections</t>
  </si>
  <si>
    <t>Submitted 3 SPIRPA Reports/ presentations with 0 corrections</t>
  </si>
  <si>
    <t>Submitted 2 SPIRPA Reports/ presentations with 0 corrections</t>
  </si>
  <si>
    <t>Submitted 1 SPIRPA Reports/ presentations with 0 corrections</t>
  </si>
  <si>
    <t>4 SPIRPA Reports/ presentation submitted have corrections</t>
  </si>
  <si>
    <t>Conducted 4 SPIRPA  on approved scheduled date</t>
  </si>
  <si>
    <t>Conducted 3 SPIRPA  on approved scheduled date</t>
  </si>
  <si>
    <t>Conducted 2 SPIRPA  on approved scheduled date</t>
  </si>
  <si>
    <t>Conducted 1 SPIRPA  on approved scheduled date</t>
  </si>
  <si>
    <t>Conducted 4 SPIRPA  a day after or beyond the scheduled date</t>
  </si>
  <si>
    <t>Part I-A Total Score</t>
  </si>
  <si>
    <t>Refer to BMEF and BEDP  2029</t>
  </si>
  <si>
    <t>Refer to BMEF and BEDP  2030</t>
  </si>
  <si>
    <t>5 Point Agenda</t>
  </si>
  <si>
    <t xml:space="preserve"> </t>
  </si>
  <si>
    <t>TO BE FILLED IN DURING PLANNING</t>
  </si>
  <si>
    <t>Key Result Areas (KRA)</t>
  </si>
  <si>
    <t>Objectives</t>
  </si>
  <si>
    <t>RATING SCALE</t>
  </si>
  <si>
    <t>Actual Results/ Accomplishments</t>
  </si>
  <si>
    <t>Conducted lnnovations/interventions  on any of the  folowing process:    a.  Strategic Leadership  b. School Operations and Resources Manangement   c. teaching and Learning Supervision      d. Organizational and Individual Development                       e. Partnership and Linkages</t>
  </si>
  <si>
    <t xml:space="preserve"> lnnovations/interventions  on any of the  folowing process:    a.  Strategic Leadership  b. School Operations and Resources Manangement   c. teaching and Learning Supervision      d. Organizational and Individual Development                       e. Partnership and Linkages</t>
  </si>
  <si>
    <t xml:space="preserve">With documents for the following indicators:                                                         a. Approved Innovation/intervention  Plan                             b. Approved Implementation Paper                 c.. Approved Accomplishment report d.Certification of the Utilization or adoptions </t>
  </si>
  <si>
    <t xml:space="preserve">Submitted  Innovation/Intervention plan with only 3 indicators </t>
  </si>
  <si>
    <t>Submitted  Innovation/Intervention plan with only 2 indicators</t>
  </si>
  <si>
    <t>Submitted  Innovation/Intervention plan with only 1 indicator</t>
  </si>
  <si>
    <t>No Submission of  Innovation/Intervention documents</t>
  </si>
  <si>
    <t xml:space="preserve"> Innovation/Intervention documents                                                         a.  Innovation/intervention  Plan                             b.  Implementation Paper                 c..Accomplishment report d.Certification of the Utilization or adoption</t>
  </si>
  <si>
    <t xml:space="preserve"> Approved  Innovation/Intervention documents                                                         a.  Innovation/intervention  Plan                             b.  Implementation Paper                 c..Accomplishment report d.Certification of the Utilization or adoption</t>
  </si>
  <si>
    <t>Implemented 95-100% of the target  activities based on the approved Innovation/Intervention plan</t>
  </si>
  <si>
    <t>Implemented 90-94% of the target  activities based on the approved Innovation/Intervention plan</t>
  </si>
  <si>
    <t>Implemented 85-89-% of the target  activities based on the approved Innovation/Intervention plan</t>
  </si>
  <si>
    <t>Implemented 80-84% of the target  activities based on the approved Innovation/Intervention plan</t>
  </si>
  <si>
    <t>Implemented 79% and below of the target  activities based on the approved Innovation/Intervention plan</t>
  </si>
  <si>
    <t>Implemented approved Innovation/Intervention a week after the approval</t>
  </si>
  <si>
    <t>Implemented approved Innovation/Intervention 2 weeks after the approval</t>
  </si>
  <si>
    <t>Implemented approved Innovation/Intervention 3 weeks after the approval</t>
  </si>
  <si>
    <t>Implemented approved Innovation/Intervention 4 weeks after the approval</t>
  </si>
  <si>
    <t>Implemented approved Innovation/Intervention 1 month and beyond after the approval</t>
  </si>
  <si>
    <t>Teaching and Learning Delivery</t>
  </si>
  <si>
    <t>Implemented ARAL Reading Program.</t>
  </si>
  <si>
    <t>Decreased the number of emergent learners by 95-100%.</t>
  </si>
  <si>
    <t>Decreased the number of emergent learners by 90-94%.</t>
  </si>
  <si>
    <t>Decreased the number of emergent learners by 75-89%.</t>
  </si>
  <si>
    <t>Decreased the number of emergent learners by 65-74%.</t>
  </si>
  <si>
    <t>Decreased the number of emergent learners by 0-64%.</t>
  </si>
  <si>
    <t xml:space="preserve">ARAL Action Plan and Accomplishment Report
</t>
  </si>
  <si>
    <t xml:space="preserve">ARAL Action Plan and Accomplishment Report signed by appropriate signatories
</t>
  </si>
  <si>
    <t>Submitted  Action Plan and  Accomplishment Report with o error</t>
  </si>
  <si>
    <t>Submitted  Action Plan and  Accomplishment Report with 1-3 error</t>
  </si>
  <si>
    <t>Submitted  Action Plan and  Accomplishment Report with 4-5 error</t>
  </si>
  <si>
    <t>Submitted  Action Plan and  Accomplishment Report with 6-7 error</t>
  </si>
  <si>
    <t>Submitted  Action Plan and  Accomplishment Report with 8-10 error</t>
  </si>
  <si>
    <t>Submitted the required report 5 days before the deadline</t>
  </si>
  <si>
    <t>Submitted the required report 3 days before the deadline</t>
  </si>
  <si>
    <t>Submitted the required report on the deadline</t>
  </si>
  <si>
    <t>Submitted the required report 5 days after the program.</t>
  </si>
  <si>
    <t>Submitted the report 15 days beyond the program</t>
  </si>
  <si>
    <t>Strenghtened the implementation of anti-bullying and child protection policies by engaging learners, teachers, parents, and other stakeholders to uphold unity, non-violence, and mental well-being through Powering Empathy, Acceptance, and Connection Everyday (PEACE)</t>
  </si>
  <si>
    <t>Validated Report on Bullying, PEACE Action Plan, Accomplishment Report, and School Compliance Report</t>
  </si>
  <si>
    <t>Reported 0 bullying case/incidence within the school year</t>
  </si>
  <si>
    <t>Reported 1-5 bullying cases/incidences within the school year</t>
  </si>
  <si>
    <t>Reported 6-10 bullying cases/incidences within the school year</t>
  </si>
  <si>
    <t>Repprted 11-15 bullying cases/incidences within the school year</t>
  </si>
  <si>
    <t>Repprted 16 or more bullying cases/incidences within the school year</t>
  </si>
  <si>
    <t>Report on Bullying, PEACE Action Plan, Accomplishment Report,  and School Compliance Report</t>
  </si>
  <si>
    <t xml:space="preserve">Implemented the PEACE Program supported by  all of the following MOVs:                                   a. Action Plan                                                                    b. Accomplishment Report                                           c. School Compliance Reports highlighting                            *Peace Talk                                                      *Groove It To The Peace                                *Kindness Wall                                                  *Peace of Art </t>
  </si>
  <si>
    <t>Implemented the PEACE Program supported by any 2 of the MOVs</t>
  </si>
  <si>
    <t xml:space="preserve">Implemented the PEACE Program supported by only 1 attachment </t>
  </si>
  <si>
    <t>Implemented the PEACE Program without MOVs</t>
  </si>
  <si>
    <t>No implementation of PEACE Program</t>
  </si>
  <si>
    <t>School Operations and Management</t>
  </si>
  <si>
    <t>Initiated a rewards and recognition program  to  award teachers and personnel for outstanding and exemplary performance based on their performance ratings and actual accomplishments</t>
  </si>
  <si>
    <t xml:space="preserve">Conducted Rewards and recognition program </t>
  </si>
  <si>
    <t>Recognized and awarded teachers and personnel for outstanding and exemplary performance based on their performance ratings and actual accomplishments with 4 indicators</t>
  </si>
  <si>
    <t>Recognized and awarded teachers and personnel for outstanding and exemplary performance based on their performance ratings and actual accomplishments with 3 indicators</t>
  </si>
  <si>
    <t>Recognized and awarded teachers and personnel for outstanding and exemplary performance based on their performance ratings and actual accomplishments with 2 indicators</t>
  </si>
  <si>
    <t>Recognized and awarded teachers and personnel for outstanding and exemplary performance based on their performance ratings and actual accomplishments with 1 indicator</t>
  </si>
  <si>
    <t>School Innovation Paper  with attached school memo,  criteria, program ,sample of awards and ACR</t>
  </si>
  <si>
    <t>Approved School Innovation Paper  with attached school memo,  criteria, program ,sample of awards and ACR</t>
  </si>
  <si>
    <t>Conducted in 4 quarters</t>
  </si>
  <si>
    <t>Conducted in 3 quarters</t>
  </si>
  <si>
    <t>Conducted in 2 quarters</t>
  </si>
  <si>
    <t>Conducted in 1 quarter</t>
  </si>
  <si>
    <t>0 Rewards and Recognition Program conducted</t>
  </si>
  <si>
    <t>4 Rewards &amp; Recognition Program conducted 2 weeks after the exam</t>
  </si>
  <si>
    <t>3 Rewards &amp; Recognition Program conducted 2 weeks after the exam</t>
  </si>
  <si>
    <t>2 Rewards &amp; Recognition Program conducted 2 weeks after the exam</t>
  </si>
  <si>
    <t>1 Rewards &amp; Recognition Program conducted 2 weeks after the exam</t>
  </si>
  <si>
    <t>0 Rewards &amp; Recognition Program conducted 2 weeks after the exam</t>
  </si>
  <si>
    <t>Part I-B Total Score</t>
  </si>
  <si>
    <t>Organizational Effectiveness Area</t>
  </si>
  <si>
    <t>Financial Stewardship</t>
  </si>
  <si>
    <t>Utilized 98% of the budget allocation in accordance with the quarterly disbursement program with no overdraft/deficit/disallowance from oversight agency/ies</t>
  </si>
  <si>
    <t>Budget allocation disbursed within the reglementary period with no overdraft/deficit/disallowance from oversight agency/ies</t>
  </si>
  <si>
    <t>Budget allocation disbursed within the reglementary period with 1-2 overdraft/deficit/disallowance from oversight agency/ies</t>
  </si>
  <si>
    <t>Budget allocation disbursed within the reglementary period with 3-4 overdraft/deficit/disallowance from oversight agency/ies</t>
  </si>
  <si>
    <t>Budget allocation disbursed within the reglementary period with 5-6 overdraft/deficit/disallowance from oversight agency/ies</t>
  </si>
  <si>
    <t>Budget allocation disbursed within the reglementary period with 7 or more overdraft/deficit/disallowance from oversight agency/ies</t>
  </si>
  <si>
    <t>Budget is utilized according to the BUR target, based on the official BUR report of the Finance Service/Section/Unit (i.e. 98% of the budget allocation is utilized within the FY)</t>
  </si>
  <si>
    <t>Budget is utilized with 1-5% variance from BUR target, based on the official BUR report of the Finance Service/Section/Unit (i.e. 93-97% of the budget allocation is utilized within the FY)</t>
  </si>
  <si>
    <t>Budget is utilized with 6-10% variance from BUR target, based on the official BUR report of the Finance Service/Section/Unit (i.e. 88-92% of the budget allocation is utilized within the FY)</t>
  </si>
  <si>
    <t>Budget is utilized with 11-15% variance from BUR target, based on the official BUR report of the Finance Service/Section/Unit (i.e. 83-87% of the budget allocation is utilized within the FY)</t>
  </si>
  <si>
    <t>Budget is utilized with more than 15% variance from BUR target, based on the official BUR report of the Finance Service/Section/Unit (i.e. Below 83% of the budget allocation is utilized within the FY)</t>
  </si>
  <si>
    <t>Quarterly basis:
Budget is utilized according to the quarterly disbursement program (i.e. 98% of the quarterly BUR target is utilized by the end of each quarter)</t>
  </si>
  <si>
    <t>Quarterly basis:
Budget is utilized with 1-5% variance from the quarterly disbursement program (i.e. 93-97% of the quarterly BUR target is utilized by the end of each quarter)</t>
  </si>
  <si>
    <t>Quarterly basis:
Budget is utilized with 6-10% variance from the quarterly disbursement program (i.e. 88-92% of the quarterly BUR target is utilized by the end of each quarter)</t>
  </si>
  <si>
    <t>Quarterly basis:
Budget is utilized with 11-15% variance from the quarterly disbursement program (i.e. 83-87% of the quarterly BUR target is utilized by the end of each quarter)</t>
  </si>
  <si>
    <t>Quarterly basis:
Budget is utilized with more than 15% variance from the quarterly disbursement program (i.e. Below 83% of the quarterly BUR target is utilized by the end of each quarter)</t>
  </si>
  <si>
    <t>Process improvement</t>
  </si>
  <si>
    <t>Streamlined core processes and management of service provisioning of frontline and other office deliverables to ensure ease of transations and/or digitalization/digitization</t>
  </si>
  <si>
    <t>Improvements/reduction on all of the service standards
1. no. of documentary requirements
2. total processing time
3. transaction cost
4. client steps/agency action steps
5. no. of signatories</t>
  </si>
  <si>
    <t>Improvements/reduction on 4 service standards
1. no. of documentary requirements
2. total processing time
3. transaction cost
4. client steps/agency action steps
5. no. of signatories</t>
  </si>
  <si>
    <t>Improvements/reduction on 2-3 service standards
1. no. of documentary requirements
2. total processing time
3. transaction cost
4. client steps/agency action steps
5. no. of signatories</t>
  </si>
  <si>
    <t>Improvements/reduction on 1 service standards
1. no. of documentary requirements
2. total processing time
3. transaction cost
4. client steps/agency action steps
5. no. of signatories</t>
  </si>
  <si>
    <t>No change in no. of documentary requirements, total processing time, transaction cost, process steps, signatories</t>
  </si>
  <si>
    <t>Streamlined and/or digitized all office core processes identified in the QMS planning documents</t>
  </si>
  <si>
    <t>Client Satisfaction</t>
  </si>
  <si>
    <t>Achieved 100% resolution and compliance rate to #8888 and CCB complaints within the prescribed processing time (simple - 3 days; complex - 7 days; highly technical - 20 days) with at least Satisfactory overall average result on the Client Satisfaction Measurement</t>
  </si>
  <si>
    <t xml:space="preserve">95.0% - 100% (Outstanding) overall average on the results of the Client Satisfaction Measurement (CSM) </t>
  </si>
  <si>
    <t>90.9% - 94.9% (Very Satisfactory) overall average on the results of the CSM</t>
  </si>
  <si>
    <t>80.0% - 89.9% (Satisfactory) overall average on the results of the CSM</t>
  </si>
  <si>
    <t>60.0% - 79.9% (Fair) overall average on the results of the CSM</t>
  </si>
  <si>
    <t>Below 60.0% (Poor) overall average on the results of the CSM</t>
  </si>
  <si>
    <t>100% resolution and compliance rate to #8888 and CCB complaints</t>
  </si>
  <si>
    <t>At least 80% resolution and compliance rate to #8888 and CCB complaints</t>
  </si>
  <si>
    <t>At least 50% resolution and compliance rate to #8888 and CCB complaints</t>
  </si>
  <si>
    <t>At least 1% resolution and compliance rate to #8888 and CCB complaints</t>
  </si>
  <si>
    <t>0% resolution and compliance rate to #8888 and CCB complaints</t>
  </si>
  <si>
    <t>Complaints acted upon and closed within prescribed processing time (simple - 3 days; complex - 7 days; highly technical - 20 days)</t>
  </si>
  <si>
    <t>Complaints are acted upon and closed with documented delays based on the prescribed processing time (simple - 3 days; complex - 7 days; highly technical - 20 days)</t>
  </si>
  <si>
    <t>No complaint acted upon and resolved</t>
  </si>
  <si>
    <t>Part I-C Total Score</t>
  </si>
  <si>
    <t>RATEE</t>
  </si>
  <si>
    <t>RATER</t>
  </si>
  <si>
    <t>APPROVING AUTHORITY</t>
  </si>
  <si>
    <t>DepEd OPCRF (ver.Feb2025), page 2 of 4</t>
  </si>
  <si>
    <r>
      <rPr>
        <b/>
        <u/>
        <sz val="12"/>
        <color rgb="FF000000"/>
        <rFont val="Arial Narrow"/>
        <family val="2"/>
      </rPr>
      <t xml:space="preserve">PART II-A:  LEADERSHIP COMPETENCIES (2.5%)
</t>
    </r>
    <r>
      <rPr>
        <b/>
        <i/>
        <sz val="12"/>
        <color rgb="FF000000"/>
        <rFont val="Arial Narrow"/>
        <family val="2"/>
      </rPr>
      <t xml:space="preserve">Part II-A. Leadership Competencies shall capture competencies expected of heads of functional offices who hold managerial and executive/supervisory positions. The Leadership Competencies expected to be demonstrated include Leading People, People Performance Management, and People Development.  </t>
    </r>
  </si>
  <si>
    <t>Competencies</t>
  </si>
  <si>
    <t>Behavioural Indicators</t>
  </si>
  <si>
    <t>Remarks/ Observations</t>
  </si>
  <si>
    <t xml:space="preserve">RATING </t>
  </si>
  <si>
    <t xml:space="preserve">AVERAGE </t>
  </si>
  <si>
    <t>DepEd Competencies Scale</t>
  </si>
  <si>
    <t>Numerical Rating</t>
  </si>
  <si>
    <t>Adjectival Rating</t>
  </si>
  <si>
    <t>Definition</t>
  </si>
  <si>
    <t>Leading People</t>
  </si>
  <si>
    <t xml:space="preserve">1.   Uses basic persuasion techniques in a discussion or presentation e.g., staff mobilization, appeals to reason and/or emotions, uses data and examples, visual aids
</t>
  </si>
  <si>
    <t>Role Model</t>
  </si>
  <si>
    <t xml:space="preserve">Behavioral indicator is consistently exhibited and is worthy of emulation. </t>
  </si>
  <si>
    <t>2.   Persuades, convinces or influences others, in order to have a specific impact or effect.</t>
  </si>
  <si>
    <t>Consistently Demonstrated</t>
  </si>
  <si>
    <t>Behavioral indicator is constantly shown.</t>
  </si>
  <si>
    <t>3.   “Sets a good example”, is a credible and respected leader; and demonstrates desired behavior.</t>
  </si>
  <si>
    <t>Most of the Time Demonstrated</t>
  </si>
  <si>
    <t>Behavioral indicator is often shown.</t>
  </si>
  <si>
    <t>4.   Forwards personal, professional and work unit needs and interests in an issue.</t>
  </si>
  <si>
    <t>Sometimes Demonstrated</t>
  </si>
  <si>
    <t>Behavioral indicator is irregularly shown.</t>
  </si>
  <si>
    <t>5.   Assumes a pivotal role in promoting the development of an inspiring, relevant vision for the organization and influences others to share ownership of DepEd goals, in order to create an effective work environment.</t>
  </si>
  <si>
    <t>Rarely Demonstrated</t>
  </si>
  <si>
    <t>Behavioral indicator is seldom shown.</t>
  </si>
  <si>
    <t>People Performance Management</t>
  </si>
  <si>
    <t>1.   Makes specific changes in the performance management system or in own work methods to improve performance (e.g. does something better, faster, at lower cost, more efficiently; improves quality, customer satisfaction, morale, revenues).</t>
  </si>
  <si>
    <t>2.   Sets performance standards and measures progress of employees based on office and department targets.</t>
  </si>
  <si>
    <t>3.   Provides feedback and technical assistance such as coaching for performance improvement and action planning.</t>
  </si>
  <si>
    <t>4.   States performance expectations clearly and checks understanding and commitment.</t>
  </si>
  <si>
    <t>5.   Performs all the stages of result-based performance management system supported by evidence and required documents/forms.</t>
  </si>
  <si>
    <t>People Development</t>
  </si>
  <si>
    <t>1.   Improves the skills and effectiveness of individuals through employing a range of development strategies.</t>
  </si>
  <si>
    <t>2.   Facilitates workforce effectiveness through coaching and motivating/developing people within a work environment that promotes mutual trust and respect.</t>
  </si>
  <si>
    <t>3.   Conceptualizes and implements learning interventions to meet identified training needs.</t>
  </si>
  <si>
    <t>4.   Does long-term coaching or training by arranging appropriate and helpful assignments, formal training, or other experiences for the purpose of supporting a person’s learning and development.</t>
  </si>
  <si>
    <t>5.   Cultivates a learning environment by structuring interactive experiences such as looking for future opportunities that are in support of achieving individual career goals.</t>
  </si>
  <si>
    <t xml:space="preserve">Part II-A Total Score: Weighted Average (Average x 0.025)  </t>
  </si>
  <si>
    <r>
      <rPr>
        <b/>
        <u/>
        <sz val="12"/>
        <color rgb="FF000000"/>
        <rFont val="Arial Narrow"/>
        <family val="2"/>
      </rPr>
      <t xml:space="preserve">PART II-B:  CORE BEHAVIOURAL COMPETENCIES (2.5%)
</t>
    </r>
    <r>
      <rPr>
        <b/>
        <i/>
        <sz val="12"/>
        <color rgb="FF000000"/>
        <rFont val="Arial Narrow"/>
        <family val="2"/>
      </rPr>
      <t>Part II-B. Core Behavioral Competencies shall capture competencies required from all DepEd personnel in all job groups within the organization, upholding the DepEd’s core values and the Code of Conduct and Ethical Standards for Public Officials and Employees pursuant to RA 6713. They represent the way individuals embody and live the values of the organization.</t>
    </r>
  </si>
  <si>
    <t>RATING</t>
  </si>
  <si>
    <t>Self-Management</t>
  </si>
  <si>
    <t>1.   Sets personal goals and direction, needs and development.</t>
  </si>
  <si>
    <t>2.   Understands personal actions and behavior that are clear and purposive and takes into account personal goals and values congruent to that of the organization</t>
  </si>
  <si>
    <t>3.   Displays emotional maturity and enthusiasm for and is challenged by higher goals</t>
  </si>
  <si>
    <t>4.   Prioritize work tasks and schedules (through Gantt charts, checklists, etc.) to achieve goals</t>
  </si>
  <si>
    <t>5.   Sets high quality, challenging, realistic goals for self and others.</t>
  </si>
  <si>
    <t>Professionalism and Ethics</t>
  </si>
  <si>
    <t>1.   Demonstrate the values and behavior enshrined in the Norms and Conduct and Ethical Standards for Public Officials and Employees (RA 6713).</t>
  </si>
  <si>
    <t>2.   Practice ethical and professional behavior and conduct taking into account the impact of his/her actions and decisions.</t>
  </si>
  <si>
    <t>3.   Maintains a professional image: being trustworthy, regularity of attendance and punctuality, good grooming and communication.</t>
  </si>
  <si>
    <t>4.   Makes personal sacrifices to meet the organization’s needs.</t>
  </si>
  <si>
    <t>5.   Act with a sense of urgency and responsibility to meet the organization’s needs, improve system and help others improve their effectiveness.</t>
  </si>
  <si>
    <t>Results Focus</t>
  </si>
  <si>
    <t>1.   Achieves results with optimal use of time and resources mist of the time.</t>
  </si>
  <si>
    <t>2.   Avoids rework, mistakes and wastage through effective work methods by placing organizational needs before personal needs.</t>
  </si>
  <si>
    <t>3.   Delivers error-free outputs most of the time by conforming to standard operating procedures correctly and consistently. Able to produce very satisfactory quality of work in terms of usefulness/acceptability and completeness with no supervision required.</t>
  </si>
  <si>
    <t>4.   Expresses a desire to do better and may express frustration at waste or inefficiency. May focus on new or more precise ways of meeting goals set</t>
  </si>
  <si>
    <t>5.   Makes specific changes in the system or in own work methods to improve performance. Examples may include doing something better, faster, at a lower cost, more efficiently, or improving quality, customer satisfaction, morale, without setting any specific goal.</t>
  </si>
  <si>
    <t>Teamwork</t>
  </si>
  <si>
    <t>1.   Willingly does his/her share of responsibility</t>
  </si>
  <si>
    <t>2.   Promotes collaboration and removes barriers to teamwork and goal accomplishment across the organization.</t>
  </si>
  <si>
    <t>3.   Applies negotiation principles in arriving at win-win agreements.</t>
  </si>
  <si>
    <t>4.   Drives consensus and team ownership of decisions</t>
  </si>
  <si>
    <t>5.   Works constructively and collaboratively with others and across organizations to accomplish organizational goals and objectives.</t>
  </si>
  <si>
    <t>Service Orientation</t>
  </si>
  <si>
    <t>1.   Can explain and articulate organizational directions, issues and problems.</t>
  </si>
  <si>
    <t>2.   Takes personal responsibility for dealing with and/or correcting customer service issues and concerns.</t>
  </si>
  <si>
    <t>3.   Initiates activities that promotes advocacy for men and women empowerment.</t>
  </si>
  <si>
    <t>4.   Participates in updating office vision, mission, mandates and strategies based on DEPED strategies and directions.</t>
  </si>
  <si>
    <t>5.   Develops and adopts service improvement program through simplified procedures that will further enhance service delivery.</t>
  </si>
  <si>
    <t>Innovation</t>
  </si>
  <si>
    <t>1.   Examines the root cause of problems and suggests effective solutions. Foster new ideas, processes, and suggests better ways to do things (cost and/or operational efficiency).</t>
  </si>
  <si>
    <t>2.   Demonstrates an ability to think “beyond the box”. Continuously focuses on improving personal productivity to create higher value and results.</t>
  </si>
  <si>
    <t>3.   Promotes a creative climate and inspires co-workers to develop original ideas or solutions.</t>
  </si>
  <si>
    <t>4.   Translates creative thinking into tangible changes and solutions that improve the work unit and organization.</t>
  </si>
  <si>
    <t>5.   Uses ingenious methods to accomplish responsibilities. Demonstrates resourcefulness and the ability to succeed with minimal resources.</t>
  </si>
  <si>
    <t>Part II-B Total Score: Weighted Average (Average x 0.025)</t>
  </si>
  <si>
    <t>DepEd OPCRF (ver.Feb2025), page 3 of 4</t>
  </si>
  <si>
    <t>PART III: SUMMARY OF RATINGS</t>
  </si>
  <si>
    <t>Final Performance Components</t>
  </si>
  <si>
    <t>Obtained Score</t>
  </si>
  <si>
    <t>Overall Score</t>
  </si>
  <si>
    <t>RPMS Rating</t>
  </si>
  <si>
    <t>RPMS Rating Table</t>
  </si>
  <si>
    <t>Range</t>
  </si>
  <si>
    <t>PART I</t>
  </si>
  <si>
    <t>A.  Commitment to Organizational Outcomes</t>
  </si>
  <si>
    <t>4.500-5.000</t>
  </si>
  <si>
    <t>Outstanding</t>
  </si>
  <si>
    <t>B.  Innovating and Intervening Accomplishments</t>
  </si>
  <si>
    <t>3.500-4.499</t>
  </si>
  <si>
    <t>Very Satisfactory</t>
  </si>
  <si>
    <t>C. Organizational Effectiveness</t>
  </si>
  <si>
    <t>2.500-3.499</t>
  </si>
  <si>
    <t>Satisfactory</t>
  </si>
  <si>
    <t>PART II</t>
  </si>
  <si>
    <t>A.  Leadership Competencies</t>
  </si>
  <si>
    <t>2.5% (0.125)</t>
  </si>
  <si>
    <t>1.500-2.499</t>
  </si>
  <si>
    <t>Unsatisfactory</t>
  </si>
  <si>
    <t>B.  Core Behavioural Competencies</t>
  </si>
  <si>
    <t>1.000-1.499</t>
  </si>
  <si>
    <t>Poor</t>
  </si>
  <si>
    <t>Ratee-Rater Agreement</t>
  </si>
  <si>
    <t>The signatures below confirm that the employee and his/her superior have agreed to the contents of the performance as captured in this form.</t>
  </si>
  <si>
    <t xml:space="preserve">Signature:  </t>
  </si>
  <si>
    <t>Signature:</t>
  </si>
  <si>
    <t xml:space="preserve">Date: </t>
  </si>
  <si>
    <t>Date:</t>
  </si>
  <si>
    <t>DepEd OPCRF (ver.Feb2025), page 4 of 4</t>
  </si>
  <si>
    <t>PART IV: IMPROVEMENT AND DEVELOPMENT PLANS</t>
  </si>
  <si>
    <t>Part IV-A: Office Improvement Plan</t>
  </si>
  <si>
    <t>Action Plan</t>
  </si>
  <si>
    <t>Gap Analysis 
(SWOT)</t>
  </si>
  <si>
    <t>Improvement Area</t>
  </si>
  <si>
    <t xml:space="preserve">General Objective </t>
  </si>
  <si>
    <t>Recommended Improvement Intervention</t>
  </si>
  <si>
    <t>Resources Needed</t>
  </si>
  <si>
    <t>Feedback:</t>
  </si>
  <si>
    <t>Part IV-B: Individual Development Plan</t>
  </si>
  <si>
    <t>Strengths</t>
  </si>
  <si>
    <t>Improvement Needs</t>
  </si>
  <si>
    <t>Learning Objective 
(based on the developmental intervention)</t>
  </si>
  <si>
    <t>Recommended Developmental Intervention</t>
  </si>
  <si>
    <t>Submitted 10 Approved Form 48</t>
  </si>
  <si>
    <t>Submitted 8-9 Approved Form 48</t>
  </si>
  <si>
    <t xml:space="preserve">Submitted 6-7 Approved Approved Form 48 </t>
  </si>
  <si>
    <t>Submitted 1-5 Approved Form 48</t>
  </si>
  <si>
    <t xml:space="preserve">Submitted 8-10 Approved Form 48  on or before  the deadline </t>
  </si>
  <si>
    <t xml:space="preserve">Submitted 6-7 Approved Form 48 on or before the deadline </t>
  </si>
  <si>
    <t xml:space="preserve">Submitted 4-5 Approved Form 48  on or before  the deadline </t>
  </si>
  <si>
    <t xml:space="preserve">Submitted 1-3 Approved Form 48  on or before  the deadline </t>
  </si>
  <si>
    <t>Class and Teachers Program</t>
  </si>
  <si>
    <t xml:space="preserve">Approved Class Program and Teachers Program signed by appropriate signatories  </t>
  </si>
  <si>
    <t>Liquidation Reports stamped , received by the Budget and Accounting Unit</t>
  </si>
  <si>
    <t>Citezen's Charter, CSM Ratings, ICT-enabled systems developed</t>
  </si>
  <si>
    <t>CSM Results, 8888 Tickets, Answer to 8888 complaints</t>
  </si>
  <si>
    <t>Established and sustained functional partnerships with stakeholders, evidenced by implemented collaborative programs, signed agreements, and documented support that contribute to improved learner outcomes.</t>
  </si>
  <si>
    <t>Signed Memoranda of Agreement (MOA) / Deed of Donation / Partnership Agreements</t>
  </si>
  <si>
    <t xml:space="preserve">At least 5 MOAs/Deed of Donation/Partnership Agreement </t>
  </si>
  <si>
    <t xml:space="preserve">At least 4 MOAs/Deed of Donation/Partnership Agreement </t>
  </si>
  <si>
    <t xml:space="preserve">At least 3 MOAs/Deed of Donation/Partnership Agreement </t>
  </si>
  <si>
    <t xml:space="preserve">At least 2 MOAs/Deed of Donation/Partnership Agreement </t>
  </si>
  <si>
    <t xml:space="preserve">At least 1 MOAs/Deed of Donation/Partnership Agreement </t>
  </si>
  <si>
    <t xml:space="preserve">All Reports Inventory of Partners submitted  to Soc Mob without delay 
</t>
  </si>
  <si>
    <t>Executed and duly signed Memoranda of Agreement (MOA), Deeds of Donation, and Partnership Agreements</t>
  </si>
  <si>
    <t xml:space="preserve">Approved Contigency Plan </t>
  </si>
  <si>
    <t xml:space="preserve">Presented 4 or more MOVs </t>
  </si>
  <si>
    <t xml:space="preserve">Presented 3 or more MOVs </t>
  </si>
  <si>
    <t xml:space="preserve">Presented 2 or more MOVs </t>
  </si>
  <si>
    <t xml:space="preserve">Presented 1 or more MOVs </t>
  </si>
  <si>
    <t>No MOVs</t>
  </si>
  <si>
    <t xml:space="preserve">  SPIRPA - ACRs</t>
  </si>
  <si>
    <t>SPIRPA - ACRs</t>
  </si>
  <si>
    <t>Submitted four (4) hard copies of ACRs.</t>
  </si>
  <si>
    <t>Submitted four (3) hard copies of ACRs.</t>
  </si>
  <si>
    <t>Submitted four (2) hard copies of ACRs.</t>
  </si>
  <si>
    <t>Submitted four (1) hard copies of ACRs.</t>
  </si>
  <si>
    <t>Class programs and teachers’ programs were prepared and submitted five (5) days before the deadline.</t>
  </si>
  <si>
    <t>Class programs and teachers’ programs were prepared and submitted  during the deadline.</t>
  </si>
  <si>
    <t>Class programs and teachers’ programs were prepared and submitted five (5) days after the deadline.</t>
  </si>
  <si>
    <t>Class programs and teachers’ programs were prepared and submitted ten (10) days late before the deadline.</t>
  </si>
  <si>
    <t>OIC-Asst. Schools Division Superintendent</t>
  </si>
  <si>
    <t>FERDINAND S. SY PhD, CESO VI</t>
  </si>
  <si>
    <t>EVA M. DOLLOSA RN</t>
  </si>
  <si>
    <t>Total amount generated from partners/donors engaged/involvedin the school activities/programs/projects annually:                                             (Php 25,000-29,999.00)</t>
  </si>
  <si>
    <t xml:space="preserve">Total amount generated from partners/donors engaged/involvedin the school activities/programs/projects annually:                                             (Php 20,000 - 24,999.00) </t>
  </si>
  <si>
    <t>Total amount generated from partners/donors engaged/involvedin the school activities/programs/projects annually:                                             (Php 15,000 - 19, 999.00)</t>
  </si>
  <si>
    <t xml:space="preserve">Total amount generated from partners/donors engaged/involvedin the school activities/programs/projects annually:                                             (Php 14,999.00 and below) </t>
  </si>
  <si>
    <r>
      <t xml:space="preserve">Performance Measure
</t>
    </r>
    <r>
      <rPr>
        <i/>
        <sz val="14"/>
        <color theme="1"/>
        <rFont val="Arial Narrow"/>
        <family val="2"/>
      </rPr>
      <t>(Quality, Efficiency, Timeliness)</t>
    </r>
  </si>
  <si>
    <r>
      <t xml:space="preserve">Description
</t>
    </r>
    <r>
      <rPr>
        <i/>
        <sz val="14"/>
        <color theme="1"/>
        <rFont val="Arial Narrow"/>
        <family val="2"/>
      </rPr>
      <t>(expected outcome/ output/service)</t>
    </r>
  </si>
  <si>
    <r>
      <t xml:space="preserve">Performance Targets
</t>
    </r>
    <r>
      <rPr>
        <i/>
        <sz val="14"/>
        <color theme="1"/>
        <rFont val="Arial Narrow"/>
        <family val="2"/>
      </rPr>
      <t>(Target Outcome/Ouput of the Bureau/Center/Service/Division that are enabling, supportive, and/or contributory to the achievement of the organizational outcomes and KRAs (Part I-A))</t>
    </r>
  </si>
  <si>
    <r>
      <t xml:space="preserve">Value
</t>
    </r>
    <r>
      <rPr>
        <i/>
        <sz val="14"/>
        <color theme="1"/>
        <rFont val="Arial"/>
        <family val="2"/>
      </rPr>
      <t>(numerical, statistical, trend)</t>
    </r>
  </si>
  <si>
    <r>
      <t xml:space="preserve">Streamlined and/or digitized </t>
    </r>
    <r>
      <rPr>
        <b/>
        <sz val="14"/>
        <color theme="1"/>
        <rFont val="Arial Narrow"/>
        <family val="2"/>
      </rPr>
      <t>76-99%</t>
    </r>
    <r>
      <rPr>
        <sz val="14"/>
        <color theme="1"/>
        <rFont val="Arial Narrow"/>
        <family val="2"/>
      </rPr>
      <t xml:space="preserve"> of the office core processes identified in the QMS planning documents</t>
    </r>
  </si>
  <si>
    <r>
      <t xml:space="preserve">Streamlined and/or digitized </t>
    </r>
    <r>
      <rPr>
        <b/>
        <sz val="14"/>
        <color theme="1"/>
        <rFont val="Arial Narrow"/>
        <family val="2"/>
      </rPr>
      <t>51-75%</t>
    </r>
    <r>
      <rPr>
        <sz val="14"/>
        <color theme="1"/>
        <rFont val="Arial Narrow"/>
        <family val="2"/>
      </rPr>
      <t xml:space="preserve"> of the office core processes identified in the QMS planning documents</t>
    </r>
  </si>
  <si>
    <r>
      <t xml:space="preserve">Streamlined and/or digitized </t>
    </r>
    <r>
      <rPr>
        <b/>
        <sz val="14"/>
        <color theme="1"/>
        <rFont val="Arial Narrow"/>
        <family val="2"/>
      </rPr>
      <t xml:space="preserve">26-50% </t>
    </r>
    <r>
      <rPr>
        <sz val="14"/>
        <color theme="1"/>
        <rFont val="Arial Narrow"/>
        <family val="2"/>
      </rPr>
      <t>of the office core processes identified in the QMS planning documents</t>
    </r>
  </si>
  <si>
    <r>
      <t>Streamlined and/or digitized</t>
    </r>
    <r>
      <rPr>
        <b/>
        <sz val="14"/>
        <color theme="1"/>
        <rFont val="Arial Narrow"/>
        <family val="2"/>
      </rPr>
      <t xml:space="preserve"> 0-25% </t>
    </r>
    <r>
      <rPr>
        <sz val="14"/>
        <color theme="1"/>
        <rFont val="Arial Narrow"/>
        <family val="2"/>
      </rPr>
      <t>of the office core processes identified in the QMS planning documents</t>
    </r>
  </si>
  <si>
    <r>
      <t xml:space="preserve">Performance Targets
</t>
    </r>
    <r>
      <rPr>
        <i/>
        <sz val="16"/>
        <color theme="1"/>
        <rFont val="Arial Narrow"/>
        <family val="2"/>
      </rPr>
      <t>(Target Outcome/Ouput of the Bureau/Center/Service/Division aligned with the Outcome/Output Indicators in the Organizational Outcomes)</t>
    </r>
  </si>
  <si>
    <r>
      <t xml:space="preserve">Organizational Outcome Attribution
</t>
    </r>
    <r>
      <rPr>
        <i/>
        <sz val="16"/>
        <color theme="1"/>
        <rFont val="Arial Narrow"/>
        <family val="2"/>
      </rPr>
      <t>(Refer to the GAA Programs/Subprogram and BEDP Pillars)</t>
    </r>
  </si>
  <si>
    <r>
      <t xml:space="preserve">Value
</t>
    </r>
    <r>
      <rPr>
        <i/>
        <sz val="16"/>
        <color theme="1"/>
        <rFont val="Arial Narrow"/>
        <family val="2"/>
      </rPr>
      <t>(numerical, statistical, trend)</t>
    </r>
  </si>
  <si>
    <r>
      <t xml:space="preserve">Description
</t>
    </r>
    <r>
      <rPr>
        <i/>
        <sz val="16"/>
        <color theme="1"/>
        <rFont val="Arial Narrow"/>
        <family val="2"/>
      </rPr>
      <t>(expected outcome/ output/service)</t>
    </r>
  </si>
  <si>
    <r>
      <rPr>
        <b/>
        <sz val="16"/>
        <color rgb="FF0070C0"/>
        <rFont val="Arial Narrow"/>
        <family val="2"/>
      </rPr>
      <t xml:space="preserve">Met all 5 indicators </t>
    </r>
    <r>
      <rPr>
        <sz val="16"/>
        <color rgb="FF0070C0"/>
        <rFont val="Arial Narrow"/>
        <family val="2"/>
      </rPr>
      <t>based on the established standards in policy formulation:
a. Consistent with existing laws, policies, guidelines, requirements, and data/information as may be required by law, oversight agencies, and/or DepEd
b. Consistent with agency strategic directions and appropriate with DepEd context
c. Compliant with DepEd guidelines on policy development process and underwent consultations and involvement of relevant management officials, personnel, and stakeholders at all governance levels
d. Provided presentation materials, press release(as needed), and briefers for Directors and Executive sponsors
e. Provided with complete staff work, to include implications/scenario analysis and recommendations</t>
    </r>
  </si>
  <si>
    <r>
      <rPr>
        <b/>
        <sz val="16"/>
        <color rgb="FF0070C0"/>
        <rFont val="Calibri"/>
        <family val="2"/>
      </rPr>
      <t xml:space="preserve"> Met 4 out of 5 indicators </t>
    </r>
    <r>
      <rPr>
        <sz val="16"/>
        <color rgb="FF0070C0"/>
        <rFont val="Calibri"/>
        <family val="2"/>
      </rPr>
      <t>based on</t>
    </r>
    <r>
      <rPr>
        <b/>
        <sz val="16"/>
        <color rgb="FF0070C0"/>
        <rFont val="Calibri"/>
        <family val="2"/>
      </rPr>
      <t xml:space="preserve"> </t>
    </r>
    <r>
      <rPr>
        <sz val="16"/>
        <color rgb="FF0070C0"/>
        <rFont val="Calibri"/>
        <family val="2"/>
      </rPr>
      <t>the established standards in policy formulation</t>
    </r>
  </si>
  <si>
    <r>
      <rPr>
        <b/>
        <sz val="16"/>
        <color rgb="FF0070C0"/>
        <rFont val="Calibri"/>
        <family val="2"/>
      </rPr>
      <t xml:space="preserve"> Met 3 out of 5 indicators</t>
    </r>
    <r>
      <rPr>
        <sz val="16"/>
        <color rgb="FF0070C0"/>
        <rFont val="Calibri"/>
        <family val="2"/>
      </rPr>
      <t xml:space="preserve"> based on the established standards in policy formulation</t>
    </r>
  </si>
  <si>
    <r>
      <rPr>
        <b/>
        <sz val="16"/>
        <color rgb="FF0070C0"/>
        <rFont val="Calibri"/>
        <family val="2"/>
      </rPr>
      <t>Met 2 out of 5 indicators</t>
    </r>
    <r>
      <rPr>
        <sz val="16"/>
        <color rgb="FF0070C0"/>
        <rFont val="Calibri"/>
        <family val="2"/>
      </rPr>
      <t xml:space="preserve"> based on the established standards in policy formulation</t>
    </r>
  </si>
  <si>
    <r>
      <rPr>
        <b/>
        <sz val="16"/>
        <color rgb="FF0070C0"/>
        <rFont val="Calibri"/>
        <family val="2"/>
      </rPr>
      <t>Only 1 out of 5 indicators</t>
    </r>
    <r>
      <rPr>
        <sz val="16"/>
        <color rgb="FF0070C0"/>
        <rFont val="Calibri"/>
        <family val="2"/>
      </rPr>
      <t xml:space="preserve"> is met based on the established standards in policy formulation</t>
    </r>
  </si>
  <si>
    <r>
      <rPr>
        <b/>
        <sz val="16"/>
        <color rgb="FF0070C0"/>
        <rFont val="Arial Narrow"/>
        <family val="2"/>
      </rPr>
      <t>100% of total number of policy deliverables</t>
    </r>
    <r>
      <rPr>
        <sz val="16"/>
        <color rgb="FF0070C0"/>
        <rFont val="Arial Narrow"/>
        <family val="2"/>
      </rPr>
      <t xml:space="preserve"> submitted and/or presented to the Director for approval; commented upon by such and provided responses to said comments; and/or integrated into the proposed policy action document.
</t>
    </r>
  </si>
  <si>
    <r>
      <rPr>
        <b/>
        <sz val="16"/>
        <color rgb="FF0070C0"/>
        <rFont val="Arial Narrow"/>
        <family val="2"/>
      </rPr>
      <t>76-99% of total number of policy deliverables</t>
    </r>
    <r>
      <rPr>
        <sz val="16"/>
        <color rgb="FF0070C0"/>
        <rFont val="Arial Narrow"/>
        <family val="2"/>
      </rPr>
      <t xml:space="preserve"> submitted and/or presented to the Director for approval; commented upon by such and provided responses to said comments; and/or integrated into the proposed policy action document.</t>
    </r>
  </si>
  <si>
    <r>
      <rPr>
        <b/>
        <sz val="16"/>
        <color rgb="FF0070C0"/>
        <rFont val="Arial Narrow"/>
        <family val="2"/>
      </rPr>
      <t>51-75% of total number of policy deliverables</t>
    </r>
    <r>
      <rPr>
        <sz val="16"/>
        <color rgb="FF0070C0"/>
        <rFont val="Arial Narrow"/>
        <family val="2"/>
      </rPr>
      <t xml:space="preserve"> submitted and/or presented to the Director for approval; commented upon by such and provided responses to said comments; and/or integrated into the proposed policy action document.</t>
    </r>
  </si>
  <si>
    <r>
      <rPr>
        <b/>
        <sz val="16"/>
        <color rgb="FF0070C0"/>
        <rFont val="Arial Narrow"/>
        <family val="2"/>
      </rPr>
      <t xml:space="preserve">26-50% of total number of policy deliverables </t>
    </r>
    <r>
      <rPr>
        <sz val="16"/>
        <color rgb="FF0070C0"/>
        <rFont val="Arial Narrow"/>
        <family val="2"/>
      </rPr>
      <t>submitted and/or presented to the Director for approval; commented upon by such and provided responses to said comments; and/or integrated into the proposed policy action document.</t>
    </r>
  </si>
  <si>
    <r>
      <rPr>
        <b/>
        <sz val="16"/>
        <color rgb="FF0070C0"/>
        <rFont val="Arial Narrow"/>
        <family val="2"/>
      </rPr>
      <t>25 %and below of total number of policy deliverables</t>
    </r>
    <r>
      <rPr>
        <sz val="16"/>
        <color rgb="FF0070C0"/>
        <rFont val="Arial Narrow"/>
        <family val="2"/>
      </rPr>
      <t xml:space="preserve"> submitted and/or presented to the Director for approval; commented upon by such and provided responses to said comments; and/or integrated into the proposed policy action document.</t>
    </r>
  </si>
  <si>
    <r>
      <rPr>
        <b/>
        <u/>
        <sz val="18"/>
        <color rgb="FF000000"/>
        <rFont val="Arial Narrow"/>
        <family val="2"/>
      </rPr>
      <t xml:space="preserve">PART I-B: INNOVATING AND INTERVENING ACCOMPLISHMENTS (20%)
</t>
    </r>
    <r>
      <rPr>
        <b/>
        <i/>
        <sz val="18"/>
        <color rgb="FF000000"/>
        <rFont val="Arial Narrow"/>
        <family val="2"/>
      </rPr>
      <t>Part I-B. Innovating and Intervening Accomplishments shall capture the outcomes/outputs of the office that are enabling, supportive, and/or contributory to the achievement of the organizational commitments and KRAs in Part I-A. Accomplishments can be innovations, interventions, and enhancements on the processes, services, and/or outputs.</t>
    </r>
  </si>
  <si>
    <r>
      <rPr>
        <sz val="20"/>
        <color theme="1"/>
        <rFont val="Arial Narrow"/>
        <family val="2"/>
      </rPr>
      <t>Basic Education</t>
    </r>
    <r>
      <rPr>
        <b/>
        <i/>
        <sz val="20"/>
        <color theme="1"/>
        <rFont val="Arial Narrow"/>
        <family val="2"/>
      </rPr>
      <t xml:space="preserve"> </t>
    </r>
  </si>
  <si>
    <r>
      <t xml:space="preserve">Performance Measure
</t>
    </r>
    <r>
      <rPr>
        <i/>
        <sz val="18"/>
        <color theme="1"/>
        <rFont val="Arial Narrow"/>
        <family val="2"/>
      </rPr>
      <t>(Quality, Efficiency, Timeliness)</t>
    </r>
  </si>
  <si>
    <r>
      <t xml:space="preserve">Objectives
</t>
    </r>
    <r>
      <rPr>
        <i/>
        <sz val="20"/>
        <color theme="1"/>
        <rFont val="Arial Narrow"/>
        <family val="2"/>
      </rPr>
      <t>(based on Office Functions)</t>
    </r>
  </si>
  <si>
    <r>
      <t xml:space="preserve">Key Result Areas (KRA)
</t>
    </r>
    <r>
      <rPr>
        <i/>
        <sz val="18"/>
        <color theme="1"/>
        <rFont val="Arial Narrow"/>
        <family val="2"/>
      </rPr>
      <t>(Based on Office Mandate and Functions)</t>
    </r>
  </si>
  <si>
    <t xml:space="preserve">                                                                                                         School Leadership and Administration </t>
  </si>
  <si>
    <r>
      <t xml:space="preserve">OFFICE PERFORMANCE COMMITMENT AND REVIEW FORM (OPCRF) 
</t>
    </r>
    <r>
      <rPr>
        <b/>
        <i/>
        <sz val="20"/>
        <color rgb="FF000000"/>
        <rFont val="Arial Narrow"/>
        <family val="2"/>
      </rPr>
      <t>ver.Feb2025</t>
    </r>
  </si>
  <si>
    <r>
      <rPr>
        <b/>
        <u/>
        <sz val="20"/>
        <color rgb="FF000000"/>
        <rFont val="Arial Narrow"/>
        <family val="2"/>
      </rPr>
      <t xml:space="preserve">PART I-A: COMMITMENT TO ORGANIZATIONAL OUTCOMES (60%)
</t>
    </r>
    <r>
      <rPr>
        <b/>
        <i/>
        <sz val="20"/>
        <color rgb="FF000000"/>
        <rFont val="Arial Narrow"/>
        <family val="2"/>
      </rPr>
      <t>Part I-A. Commitment to Organizational Outcomes shall capture office commitments, performance, and accomplishments based on office mandates and KRAs as reflected in the official issuance on the Compendium of Office Functions. This part shall capture the contributions of the office directly targeting the Organizational Outcomes indicated in the General Appropriation Act (GAA) Programs/Subprograms, Basic Education Development Plan (BEDP) Pillars, Current Administration Agenda, and other national level commitments that are aligned with and relevant to the office KRAs. Clear attribution shall be made to ensure such alignment.</t>
    </r>
  </si>
  <si>
    <t xml:space="preserve">All or 91-100% of AIP activities aligned with the approved SIP through Work and Financial Plan (WFP) and Annual Implementation Plan (AIP).are conducted/ implemented </t>
  </si>
  <si>
    <t>Conducted1 INSET and 4 LAC Sessions from June 2025-March 2026</t>
  </si>
  <si>
    <t>Recognized and awarded teachers and personnel for outstanding and exemplary performance based on their performance ratings and actual accomplishments with the following                                                                                  a.approved innovation paper                                                                                              b.school memo                                                             c. criteria,                                                                               d. programs                                                                                  e.  samples of awards                                                                                            f. ACR</t>
  </si>
  <si>
    <r>
      <rPr>
        <b/>
        <u/>
        <sz val="20"/>
        <color rgb="FF000000"/>
        <rFont val="Arial Narrow"/>
        <family val="2"/>
      </rPr>
      <t xml:space="preserve">PART I-C:  ORGANIZATIONAL EFFECTIVENESS (15%)
</t>
    </r>
    <r>
      <rPr>
        <b/>
        <i/>
        <sz val="20"/>
        <color rgb="FF000000"/>
        <rFont val="Arial Narrow"/>
        <family val="2"/>
      </rPr>
      <t>Part I-C. Organizational Effectiveness shall capture accomplishments/outputs produced or attained on the aspects of Financial Stewardship, Process Improvement, and Client Satisfaction. It shall focus on the results achieved by the office that are aligned with the Performance-based Bonus (PBB) oversight requirements.</t>
    </r>
  </si>
  <si>
    <t>Anchored on the Vision, Mission, and Core Values of the Department of Education, I commit to providing quality, accessible, relevant, and liberating basic education for all learners. As a School Head, I shall uphold integrity, excellence, and accountability in leading the school community toward the achievement of educational goals and improved learner outcomes.I further commit to fostering a learner-centered environment, empowering teachers and stakeholders through collaboration and shared leadership, and ensuring effective implementation of programs, policies, and initiatives that promote holistic development and continuous school improvement. Through professionalism and dedication, I shall embody the core values of Maka-Diyos, Makatao, Makakalikasan, at Makabansa in the discharge of my duties and responsibilities.</t>
  </si>
  <si>
    <r>
      <t>Name of Employee:</t>
    </r>
    <r>
      <rPr>
        <b/>
        <sz val="12"/>
        <color rgb="FF000000"/>
        <rFont val="Arial Narrow"/>
        <family val="2"/>
      </rPr>
      <t xml:space="preserve"> ARCHY MAR P. AGUILAR</t>
    </r>
  </si>
  <si>
    <r>
      <t xml:space="preserve">Name of Superior: </t>
    </r>
    <r>
      <rPr>
        <b/>
        <sz val="12"/>
        <color rgb="FF000000"/>
        <rFont val="Arial Narrow"/>
        <family val="2"/>
      </rPr>
      <t>EVA M. DOLLOSA RN</t>
    </r>
  </si>
  <si>
    <t>Verifier: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</si>
</sst>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92">
    <font>
      <sz val="11"/>
      <color theme="1"/>
      <name val="Aptos Narrow"/>
      <scheme val="minor"/>
    </font>
    <font>
      <sz val="12"/>
      <color rgb="FF000000"/>
      <name val="Arial Narrow"/>
      <family val="2"/>
    </font>
    <font>
      <b/>
      <sz val="12"/>
      <color theme="1"/>
      <name val="Arial Narrow"/>
      <family val="2"/>
    </font>
    <font>
      <sz val="11"/>
      <name val="Aptos Narrow"/>
    </font>
    <font>
      <sz val="12"/>
      <color theme="1"/>
      <name val="Arial Narrow"/>
      <family val="2"/>
    </font>
    <font>
      <b/>
      <sz val="18"/>
      <color rgb="FF000000"/>
      <name val="Arial Narrow"/>
      <family val="2"/>
    </font>
    <font>
      <b/>
      <i/>
      <sz val="12"/>
      <color rgb="FF000000"/>
      <name val="Arial Narrow"/>
      <family val="2"/>
    </font>
    <font>
      <b/>
      <sz val="12"/>
      <color rgb="FF000000"/>
      <name val="Arial Narrow"/>
      <family val="2"/>
    </font>
    <font>
      <sz val="11"/>
      <color theme="1"/>
      <name val="Calibri"/>
      <family val="2"/>
    </font>
    <font>
      <sz val="11"/>
      <color theme="1"/>
      <name val="Arial Narrow"/>
      <family val="2"/>
    </font>
    <font>
      <sz val="11"/>
      <color rgb="FF000000"/>
      <name val="Aptos Narrow"/>
    </font>
    <font>
      <sz val="10"/>
      <color theme="1"/>
      <name val="Arial Narrow"/>
      <family val="2"/>
    </font>
    <font>
      <sz val="16"/>
      <color theme="1"/>
      <name val="Arial Narrow"/>
      <family val="2"/>
    </font>
    <font>
      <sz val="11"/>
      <color rgb="FF000000"/>
      <name val="Arial Narrow"/>
      <family val="2"/>
    </font>
    <font>
      <b/>
      <i/>
      <sz val="11"/>
      <color theme="1"/>
      <name val="Arial Narrow"/>
      <family val="2"/>
    </font>
    <font>
      <b/>
      <sz val="11"/>
      <color theme="1"/>
      <name val="Arial Narrow"/>
      <family val="2"/>
    </font>
    <font>
      <b/>
      <sz val="16"/>
      <color rgb="FF000000"/>
      <name val="Arial Narrow"/>
      <family val="2"/>
    </font>
    <font>
      <b/>
      <sz val="11"/>
      <color rgb="FF000000"/>
      <name val="Arial Narrow"/>
      <family val="2"/>
    </font>
    <font>
      <sz val="14"/>
      <color rgb="FF000000"/>
      <name val="Arial Narrow"/>
      <family val="2"/>
    </font>
    <font>
      <sz val="20"/>
      <color rgb="FFE8E8E8"/>
      <name val="Arial Narrow"/>
      <family val="2"/>
    </font>
    <font>
      <sz val="16"/>
      <color rgb="FF000000"/>
      <name val="Arial Narrow"/>
      <family val="2"/>
    </font>
    <font>
      <b/>
      <sz val="18"/>
      <color theme="1"/>
      <name val="Arial Narrow"/>
      <family val="2"/>
    </font>
    <font>
      <sz val="24"/>
      <color theme="1"/>
      <name val="Arial Narrow"/>
      <family val="2"/>
    </font>
    <font>
      <sz val="20"/>
      <color theme="1"/>
      <name val="Arial Narrow"/>
      <family val="2"/>
    </font>
    <font>
      <b/>
      <i/>
      <sz val="11"/>
      <color rgb="FF000000"/>
      <name val="Arial Narrow"/>
      <family val="2"/>
    </font>
    <font>
      <b/>
      <u/>
      <sz val="12"/>
      <color rgb="FF000000"/>
      <name val="Arial Narrow"/>
      <family val="2"/>
    </font>
    <font>
      <b/>
      <u/>
      <sz val="12"/>
      <color rgb="FF000000"/>
      <name val="Arial Narrow"/>
      <family val="2"/>
    </font>
    <font>
      <b/>
      <u/>
      <sz val="12"/>
      <color rgb="FF000000"/>
      <name val="Arial Narrow"/>
      <family val="2"/>
    </font>
    <font>
      <b/>
      <u/>
      <sz val="12"/>
      <color rgb="FF000000"/>
      <name val="Arial Narrow"/>
      <family val="2"/>
    </font>
    <font>
      <b/>
      <i/>
      <sz val="18"/>
      <color rgb="FF000000"/>
      <name val="Arial Narrow"/>
      <family val="2"/>
    </font>
    <font>
      <b/>
      <u/>
      <sz val="18"/>
      <color rgb="FF000000"/>
      <name val="Arial Narrow"/>
      <family val="2"/>
    </font>
    <font>
      <b/>
      <sz val="14"/>
      <color theme="1"/>
      <name val="Arial Narrow"/>
      <family val="2"/>
    </font>
    <font>
      <sz val="14"/>
      <name val="Aptos Narrow"/>
      <family val="2"/>
    </font>
    <font>
      <sz val="14"/>
      <color theme="1"/>
      <name val="Arial Narrow"/>
      <family val="2"/>
    </font>
    <font>
      <sz val="14"/>
      <color rgb="FF000000"/>
      <name val="Calibri"/>
      <family val="2"/>
    </font>
    <font>
      <sz val="14"/>
      <color theme="1"/>
      <name val="Aptos Narrow"/>
      <family val="2"/>
      <scheme val="minor"/>
    </font>
    <font>
      <b/>
      <i/>
      <sz val="14"/>
      <color rgb="FF000000"/>
      <name val="Arial Narrow"/>
      <family val="2"/>
    </font>
    <font>
      <b/>
      <i/>
      <sz val="14"/>
      <color rgb="FF000000"/>
      <name val="Arial"/>
      <family val="2"/>
    </font>
    <font>
      <i/>
      <sz val="14"/>
      <color theme="1"/>
      <name val="Arial Narrow"/>
      <family val="2"/>
    </font>
    <font>
      <b/>
      <sz val="14"/>
      <color rgb="FF000000"/>
      <name val="Arial"/>
      <family val="2"/>
    </font>
    <font>
      <sz val="14"/>
      <color theme="1"/>
      <name val="Calibri"/>
      <family val="2"/>
    </font>
    <font>
      <sz val="14"/>
      <color rgb="FF000000"/>
      <name val="Aptos Narrow"/>
      <family val="2"/>
    </font>
    <font>
      <i/>
      <sz val="14"/>
      <color theme="1"/>
      <name val="Arial"/>
      <family val="2"/>
    </font>
    <font>
      <i/>
      <sz val="14"/>
      <color rgb="FF000000"/>
      <name val="Arial Narrow"/>
      <family val="2"/>
    </font>
    <font>
      <sz val="14"/>
      <color rgb="FFFF0000"/>
      <name val="Arial Narrow"/>
      <family val="2"/>
    </font>
    <font>
      <sz val="16"/>
      <name val="Aptos Narrow"/>
      <family val="2"/>
    </font>
    <font>
      <sz val="16"/>
      <color theme="1"/>
      <name val="Aptos Narrow"/>
      <family val="2"/>
      <scheme val="minor"/>
    </font>
    <font>
      <sz val="16"/>
      <color rgb="FF000000"/>
      <name val="Calibri"/>
      <family val="2"/>
    </font>
    <font>
      <b/>
      <sz val="16"/>
      <color theme="1"/>
      <name val="Arial Narrow"/>
      <family val="2"/>
    </font>
    <font>
      <i/>
      <sz val="16"/>
      <color theme="1"/>
      <name val="Arial Narrow"/>
      <family val="2"/>
    </font>
    <font>
      <sz val="16"/>
      <color rgb="FF0070C0"/>
      <name val="Calibri"/>
      <family val="2"/>
    </font>
    <font>
      <sz val="16"/>
      <color rgb="FF0070C0"/>
      <name val="Arial Narrow"/>
      <family val="2"/>
    </font>
    <font>
      <b/>
      <sz val="16"/>
      <color rgb="FF0070C0"/>
      <name val="Arial Narrow"/>
      <family val="2"/>
    </font>
    <font>
      <b/>
      <sz val="16"/>
      <color rgb="FF0070C0"/>
      <name val="Calibri"/>
      <family val="2"/>
    </font>
    <font>
      <sz val="16"/>
      <color theme="8"/>
      <name val="Calibri"/>
      <family val="2"/>
    </font>
    <font>
      <b/>
      <sz val="16"/>
      <color theme="1"/>
      <name val="Arial"/>
      <family val="2"/>
    </font>
    <font>
      <sz val="16"/>
      <color theme="1"/>
      <name val="Calibri"/>
      <family val="2"/>
    </font>
    <font>
      <sz val="16"/>
      <color theme="8"/>
      <name val="Arial Narrow"/>
      <family val="2"/>
    </font>
    <font>
      <sz val="18"/>
      <name val="Aptos Narrow"/>
      <family val="2"/>
    </font>
    <font>
      <sz val="18"/>
      <color theme="1"/>
      <name val="Arial Narrow"/>
      <family val="2"/>
    </font>
    <font>
      <sz val="18"/>
      <color theme="1"/>
      <name val="Aptos Narrow"/>
      <family val="2"/>
      <scheme val="minor"/>
    </font>
    <font>
      <sz val="20"/>
      <name val="Aptos Narrow"/>
      <family val="2"/>
    </font>
    <font>
      <sz val="20"/>
      <color theme="1"/>
      <name val="Aptos Narrow"/>
      <family val="2"/>
      <scheme val="minor"/>
    </font>
    <font>
      <sz val="20"/>
      <color theme="1"/>
      <name val="Calibri"/>
      <family val="2"/>
    </font>
    <font>
      <b/>
      <sz val="20"/>
      <color theme="1"/>
      <name val="Arial Narrow"/>
      <family val="2"/>
    </font>
    <font>
      <b/>
      <i/>
      <sz val="20"/>
      <color theme="1"/>
      <name val="Arial Narrow"/>
      <family val="2"/>
    </font>
    <font>
      <sz val="20"/>
      <color rgb="FF000000"/>
      <name val="Arial Narrow"/>
      <family val="2"/>
    </font>
    <font>
      <sz val="20"/>
      <color rgb="FF000000"/>
      <name val="Aptos Narrow"/>
      <family val="2"/>
    </font>
    <font>
      <i/>
      <sz val="20"/>
      <color theme="1"/>
      <name val="Arial Narrow"/>
      <family val="2"/>
    </font>
    <font>
      <b/>
      <sz val="20"/>
      <color theme="1"/>
      <name val="Calibri"/>
      <family val="2"/>
    </font>
    <font>
      <sz val="20"/>
      <color theme="1"/>
      <name val="Aptos Narrow"/>
      <family val="2"/>
    </font>
    <font>
      <b/>
      <i/>
      <sz val="20"/>
      <color rgb="FF000000"/>
      <name val="Arial Narrow"/>
      <family val="2"/>
    </font>
    <font>
      <sz val="20"/>
      <color rgb="FF000000"/>
      <name val="Calibri"/>
      <family val="2"/>
    </font>
    <font>
      <sz val="22"/>
      <color rgb="FF000000"/>
      <name val="Arial Narrow"/>
      <family val="2"/>
    </font>
    <font>
      <sz val="22"/>
      <color theme="1"/>
      <name val="Arial Narrow"/>
      <family val="2"/>
    </font>
    <font>
      <sz val="22"/>
      <name val="Aptos Narrow"/>
      <family val="2"/>
    </font>
    <font>
      <b/>
      <sz val="22"/>
      <color theme="1"/>
      <name val="Arial Narrow"/>
      <family val="2"/>
    </font>
    <font>
      <sz val="22"/>
      <name val="Arial Narrow"/>
      <family val="2"/>
    </font>
    <font>
      <b/>
      <sz val="20"/>
      <color rgb="FF000000"/>
      <name val="Arial"/>
      <family val="2"/>
    </font>
    <font>
      <i/>
      <sz val="18"/>
      <color theme="1"/>
      <name val="Arial Narrow"/>
      <family val="2"/>
    </font>
    <font>
      <b/>
      <sz val="20"/>
      <name val="Aptos Narrow"/>
      <family val="2"/>
    </font>
    <font>
      <b/>
      <i/>
      <sz val="18"/>
      <color rgb="FF000000"/>
      <name val="Arial"/>
      <family val="2"/>
    </font>
    <font>
      <b/>
      <sz val="20"/>
      <color rgb="FF000000"/>
      <name val="Arial Narrow"/>
      <family val="2"/>
    </font>
    <font>
      <b/>
      <u/>
      <sz val="20"/>
      <color rgb="FF000000"/>
      <name val="Arial Narrow"/>
      <family val="2"/>
    </font>
    <font>
      <sz val="20"/>
      <color rgb="FF000000"/>
      <name val="Arial"/>
      <family val="2"/>
    </font>
    <font>
      <sz val="18"/>
      <color rgb="FF000000"/>
      <name val="Arial Narrow"/>
      <family val="2"/>
    </font>
    <font>
      <i/>
      <sz val="16"/>
      <color rgb="FF000000"/>
      <name val="Arial"/>
      <family val="2"/>
    </font>
    <font>
      <sz val="16"/>
      <color theme="1"/>
      <name val="Arial"/>
      <family val="2"/>
    </font>
    <font>
      <sz val="16"/>
      <color rgb="FF000000"/>
      <name val="Aptos Narrow"/>
      <family val="2"/>
      <scheme val="minor"/>
    </font>
    <font>
      <b/>
      <sz val="11"/>
      <name val="Aptos Narrow"/>
      <family val="2"/>
    </font>
    <font>
      <b/>
      <sz val="17"/>
      <color theme="8"/>
      <name val="Arial Narrow"/>
      <family val="2"/>
    </font>
    <font>
      <b/>
      <sz val="17"/>
      <name val="Aptos Narrow"/>
      <family val="2"/>
    </font>
  </fonts>
  <fills count="12">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2874BD"/>
        <bgColor rgb="FF2874BD"/>
      </patternFill>
    </fill>
    <fill>
      <patternFill patternType="solid">
        <fgColor rgb="FFDADADA"/>
        <bgColor rgb="FFDADADA"/>
      </patternFill>
    </fill>
    <fill>
      <patternFill patternType="solid">
        <fgColor rgb="FFD9D9D9"/>
        <bgColor rgb="FFD9D9D9"/>
      </patternFill>
    </fill>
    <fill>
      <patternFill patternType="solid">
        <fgColor rgb="FFF2F2F2"/>
        <bgColor rgb="FFF2F2F2"/>
      </patternFill>
    </fill>
    <fill>
      <patternFill patternType="solid">
        <fgColor rgb="FF0070C0"/>
        <bgColor indexed="64"/>
      </patternFill>
    </fill>
    <fill>
      <patternFill patternType="solid">
        <fgColor rgb="FFFAC79B"/>
        <bgColor rgb="FFFBE4D5"/>
      </patternFill>
    </fill>
    <fill>
      <patternFill patternType="solid">
        <fgColor rgb="FFFAC79B"/>
        <bgColor indexed="64"/>
      </patternFill>
    </fill>
  </fills>
  <borders count="186">
    <border>
      <left/>
      <right/>
      <top/>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medium">
        <color rgb="FF000000"/>
      </top>
      <bottom/>
      <diagonal/>
    </border>
    <border>
      <left/>
      <right/>
      <top style="medium">
        <color rgb="FF000000"/>
      </top>
      <bottom style="medium">
        <color rgb="FF000000"/>
      </bottom>
      <diagonal/>
    </border>
    <border>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bottom/>
      <diagonal/>
    </border>
    <border>
      <left/>
      <right style="thin">
        <color rgb="FF000000"/>
      </right>
      <top/>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bottom style="medium">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style="medium">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top/>
      <bottom/>
      <diagonal/>
    </border>
    <border>
      <left/>
      <right/>
      <top/>
      <bottom/>
      <diagonal/>
    </border>
    <border>
      <left/>
      <right style="medium">
        <color rgb="FF000000"/>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bottom/>
      <diagonal/>
    </border>
    <border>
      <left style="thin">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thin">
        <color rgb="FF000000"/>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diagonal/>
    </border>
    <border>
      <left/>
      <right/>
      <top/>
      <bottom style="thin">
        <color rgb="FF000000"/>
      </bottom>
      <diagonal/>
    </border>
    <border>
      <left style="medium">
        <color indexed="64"/>
      </left>
      <right style="thin">
        <color rgb="FF000000"/>
      </right>
      <top style="medium">
        <color indexed="64"/>
      </top>
      <bottom/>
      <diagonal/>
    </border>
    <border>
      <left style="thin">
        <color rgb="FF000000"/>
      </left>
      <right style="medium">
        <color rgb="FF000000"/>
      </right>
      <top style="medium">
        <color indexed="64"/>
      </top>
      <bottom/>
      <diagonal/>
    </border>
    <border>
      <left style="medium">
        <color rgb="FF000000"/>
      </left>
      <right style="thin">
        <color rgb="FF000000"/>
      </right>
      <top style="medium">
        <color indexed="64"/>
      </top>
      <bottom/>
      <diagonal/>
    </border>
    <border>
      <left style="thin">
        <color rgb="FF000000"/>
      </left>
      <right/>
      <top style="medium">
        <color indexed="64"/>
      </top>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medium">
        <color rgb="FF000000"/>
      </right>
      <top/>
      <bottom style="medium">
        <color indexed="64"/>
      </bottom>
      <diagonal/>
    </border>
    <border>
      <left style="medium">
        <color rgb="FF000000"/>
      </left>
      <right style="thin">
        <color rgb="FF000000"/>
      </right>
      <top/>
      <bottom style="medium">
        <color indexed="64"/>
      </bottom>
      <diagonal/>
    </border>
    <border>
      <left style="thin">
        <color rgb="FF000000"/>
      </left>
      <right/>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medium">
        <color rgb="FF000000"/>
      </bottom>
      <diagonal/>
    </border>
    <border>
      <left/>
      <right style="thin">
        <color rgb="FF000000"/>
      </right>
      <top style="thin">
        <color rgb="FF000000"/>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bottom/>
      <diagonal/>
    </border>
    <border>
      <left/>
      <right style="medium">
        <color rgb="FF000000"/>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medium">
        <color rgb="FF000000"/>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medium">
        <color rgb="FF000000"/>
      </left>
      <right style="medium">
        <color rgb="FF000000"/>
      </right>
      <top style="medium">
        <color indexed="64"/>
      </top>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style="medium">
        <color rgb="FF000000"/>
      </left>
      <right style="medium">
        <color rgb="FF000000"/>
      </right>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88">
    <xf numFmtId="0" fontId="0" fillId="0" borderId="0" xfId="0"/>
    <xf numFmtId="0" fontId="2" fillId="3" borderId="1" xfId="0" applyFont="1" applyFill="1" applyBorder="1" applyAlignment="1">
      <alignment horizontal="right" vertical="center" wrapText="1"/>
    </xf>
    <xf numFmtId="0" fontId="4" fillId="3" borderId="1" xfId="0" applyFont="1" applyFill="1" applyBorder="1" applyAlignment="1">
      <alignment vertical="top" wrapText="1"/>
    </xf>
    <xf numFmtId="9" fontId="4" fillId="3" borderId="1" xfId="0" applyNumberFormat="1" applyFont="1" applyFill="1" applyBorder="1" applyAlignment="1">
      <alignment horizontal="center" vertical="top" wrapText="1"/>
    </xf>
    <xf numFmtId="2" fontId="4" fillId="3" borderId="1" xfId="0" applyNumberFormat="1" applyFont="1" applyFill="1" applyBorder="1" applyAlignment="1">
      <alignment horizontal="center" vertical="top" wrapText="1"/>
    </xf>
    <xf numFmtId="0" fontId="10" fillId="0" borderId="0" xfId="0" applyFont="1"/>
    <xf numFmtId="0" fontId="8" fillId="0" borderId="0" xfId="0" applyFont="1"/>
    <xf numFmtId="0" fontId="13" fillId="2" borderId="1" xfId="0" applyFont="1" applyFill="1" applyBorder="1" applyAlignment="1">
      <alignment vertical="top"/>
    </xf>
    <xf numFmtId="0" fontId="9" fillId="2" borderId="1" xfId="0" applyFont="1" applyFill="1" applyBorder="1" applyAlignment="1">
      <alignment vertical="top"/>
    </xf>
    <xf numFmtId="0" fontId="14" fillId="0" borderId="0" xfId="0" applyFont="1" applyAlignment="1">
      <alignment vertical="center"/>
    </xf>
    <xf numFmtId="0" fontId="9" fillId="0" borderId="0" xfId="0" applyFont="1"/>
    <xf numFmtId="0" fontId="13" fillId="0" borderId="0" xfId="0" applyFont="1"/>
    <xf numFmtId="0" fontId="15" fillId="2" borderId="1" xfId="0" applyFont="1" applyFill="1" applyBorder="1" applyAlignment="1">
      <alignment vertical="top"/>
    </xf>
    <xf numFmtId="0" fontId="17" fillId="7" borderId="127" xfId="0" applyFont="1" applyFill="1" applyBorder="1" applyAlignment="1">
      <alignment horizontal="center" vertical="center" wrapText="1"/>
    </xf>
    <xf numFmtId="0" fontId="17" fillId="7" borderId="128" xfId="0" applyFont="1" applyFill="1" applyBorder="1" applyAlignment="1">
      <alignment horizontal="center" vertical="center" wrapText="1"/>
    </xf>
    <xf numFmtId="0" fontId="18" fillId="2" borderId="18" xfId="0" applyFont="1" applyFill="1" applyBorder="1" applyAlignment="1">
      <alignment horizontal="center" vertical="center"/>
    </xf>
    <xf numFmtId="0" fontId="13" fillId="0" borderId="55" xfId="0" applyFont="1" applyBorder="1" applyAlignment="1">
      <alignment horizontal="center" vertical="center" wrapText="1"/>
    </xf>
    <xf numFmtId="0" fontId="13" fillId="0" borderId="58" xfId="0" applyFont="1" applyBorder="1" applyAlignment="1">
      <alignment vertical="center" wrapText="1"/>
    </xf>
    <xf numFmtId="0" fontId="20" fillId="2" borderId="1" xfId="0" applyFont="1" applyFill="1" applyBorder="1" applyAlignment="1">
      <alignment horizontal="left" vertical="top" wrapText="1"/>
    </xf>
    <xf numFmtId="164" fontId="22" fillId="0" borderId="125" xfId="0" applyNumberFormat="1" applyFont="1" applyBorder="1" applyAlignment="1">
      <alignment horizontal="center" vertical="center"/>
    </xf>
    <xf numFmtId="10" fontId="9" fillId="2" borderId="1" xfId="0" applyNumberFormat="1" applyFont="1" applyFill="1" applyBorder="1" applyAlignment="1">
      <alignment vertical="top"/>
    </xf>
    <xf numFmtId="0" fontId="9" fillId="3" borderId="1" xfId="0" applyFont="1" applyFill="1" applyBorder="1" applyAlignment="1">
      <alignment vertical="top" wrapText="1"/>
    </xf>
    <xf numFmtId="0" fontId="9" fillId="3" borderId="1" xfId="0" applyFont="1" applyFill="1" applyBorder="1" applyAlignment="1">
      <alignment horizontal="left" vertical="top" wrapText="1"/>
    </xf>
    <xf numFmtId="0" fontId="9" fillId="3" borderId="1" xfId="0" applyFont="1" applyFill="1" applyBorder="1" applyAlignment="1">
      <alignment vertical="top"/>
    </xf>
    <xf numFmtId="0" fontId="9" fillId="3" borderId="1" xfId="0" applyFont="1" applyFill="1" applyBorder="1" applyAlignment="1">
      <alignment horizontal="left" vertical="top"/>
    </xf>
    <xf numFmtId="9" fontId="9" fillId="3" borderId="1" xfId="0" applyNumberFormat="1" applyFont="1" applyFill="1" applyBorder="1" applyAlignment="1">
      <alignment vertical="top"/>
    </xf>
    <xf numFmtId="0" fontId="13" fillId="2" borderId="1" xfId="0" applyFont="1" applyFill="1" applyBorder="1"/>
    <xf numFmtId="0" fontId="13" fillId="2" borderId="131" xfId="0" applyFont="1" applyFill="1" applyBorder="1"/>
    <xf numFmtId="0" fontId="13" fillId="2" borderId="66" xfId="0" applyFont="1" applyFill="1" applyBorder="1"/>
    <xf numFmtId="0" fontId="6" fillId="2" borderId="131" xfId="0" applyFont="1" applyFill="1" applyBorder="1" applyAlignment="1">
      <alignment vertical="center" wrapText="1"/>
    </xf>
    <xf numFmtId="0" fontId="8" fillId="0" borderId="74" xfId="0" applyFont="1" applyBorder="1"/>
    <xf numFmtId="0" fontId="7" fillId="2" borderId="18" xfId="0" applyFont="1" applyFill="1" applyBorder="1" applyAlignment="1">
      <alignment horizontal="center" vertical="center" wrapText="1"/>
    </xf>
    <xf numFmtId="0" fontId="17" fillId="2" borderId="18" xfId="0" applyFont="1" applyFill="1" applyBorder="1" applyAlignment="1">
      <alignment horizontal="center" vertical="center"/>
    </xf>
    <xf numFmtId="0" fontId="17" fillId="2" borderId="78" xfId="0" applyFont="1" applyFill="1" applyBorder="1" applyAlignment="1">
      <alignment horizontal="center" vertical="center"/>
    </xf>
    <xf numFmtId="0" fontId="1" fillId="2" borderId="136" xfId="0" applyFont="1" applyFill="1" applyBorder="1" applyAlignment="1">
      <alignment horizontal="left" vertical="center" wrapText="1"/>
    </xf>
    <xf numFmtId="9" fontId="1" fillId="2" borderId="70" xfId="0" applyNumberFormat="1" applyFont="1" applyFill="1" applyBorder="1" applyAlignment="1">
      <alignment horizontal="center" vertical="center" wrapText="1"/>
    </xf>
    <xf numFmtId="164" fontId="4" fillId="2" borderId="71" xfId="0" applyNumberFormat="1" applyFont="1" applyFill="1" applyBorder="1" applyAlignment="1">
      <alignment horizontal="center" vertical="center" wrapText="1"/>
    </xf>
    <xf numFmtId="0" fontId="13" fillId="2" borderId="18" xfId="0" applyFont="1" applyFill="1" applyBorder="1" applyAlignment="1">
      <alignment horizontal="center" vertical="center"/>
    </xf>
    <xf numFmtId="0" fontId="13" fillId="2" borderId="78" xfId="0" applyFont="1" applyFill="1" applyBorder="1" applyAlignment="1">
      <alignment horizontal="center" vertical="center"/>
    </xf>
    <xf numFmtId="0" fontId="1" fillId="2" borderId="138" xfId="0" applyFont="1" applyFill="1" applyBorder="1" applyAlignment="1">
      <alignment horizontal="left" vertical="center" wrapText="1"/>
    </xf>
    <xf numFmtId="9" fontId="1" fillId="2" borderId="18" xfId="0" applyNumberFormat="1" applyFont="1" applyFill="1" applyBorder="1" applyAlignment="1">
      <alignment horizontal="center" vertical="center" wrapText="1"/>
    </xf>
    <xf numFmtId="164" fontId="4" fillId="2" borderId="78" xfId="0" applyNumberFormat="1" applyFont="1" applyFill="1" applyBorder="1" applyAlignment="1">
      <alignment horizontal="center" vertical="center" wrapText="1"/>
    </xf>
    <xf numFmtId="9" fontId="1" fillId="8" borderId="18" xfId="0" applyNumberFormat="1" applyFont="1" applyFill="1" applyBorder="1" applyAlignment="1">
      <alignment horizontal="center" vertical="center" wrapText="1"/>
    </xf>
    <xf numFmtId="164" fontId="4" fillId="0" borderId="16" xfId="0" applyNumberFormat="1" applyFont="1" applyBorder="1" applyAlignment="1">
      <alignment horizontal="center"/>
    </xf>
    <xf numFmtId="166" fontId="1" fillId="8" borderId="18" xfId="0" applyNumberFormat="1" applyFont="1" applyFill="1" applyBorder="1" applyAlignment="1">
      <alignment horizontal="center" vertical="center" wrapText="1"/>
    </xf>
    <xf numFmtId="0" fontId="25" fillId="2" borderId="131" xfId="0" applyFont="1" applyFill="1" applyBorder="1" applyAlignment="1">
      <alignment vertical="center" wrapText="1"/>
    </xf>
    <xf numFmtId="0" fontId="26" fillId="2" borderId="1" xfId="0" applyFont="1" applyFill="1" applyBorder="1" applyAlignment="1">
      <alignment vertical="center"/>
    </xf>
    <xf numFmtId="0" fontId="27" fillId="2" borderId="1" xfId="0" applyFont="1" applyFill="1" applyBorder="1" applyAlignment="1">
      <alignment vertical="center" wrapText="1"/>
    </xf>
    <xf numFmtId="0" fontId="28" fillId="2" borderId="66" xfId="0" applyFont="1" applyFill="1" applyBorder="1" applyAlignment="1">
      <alignment vertical="center" wrapText="1"/>
    </xf>
    <xf numFmtId="0" fontId="1" fillId="2" borderId="131" xfId="0" applyFont="1" applyFill="1" applyBorder="1" applyAlignment="1">
      <alignment vertical="center" wrapText="1"/>
    </xf>
    <xf numFmtId="0" fontId="1" fillId="2" borderId="1" xfId="0" applyFont="1" applyFill="1" applyBorder="1" applyAlignment="1">
      <alignment vertical="center" wrapText="1"/>
    </xf>
    <xf numFmtId="0" fontId="1" fillId="2" borderId="66" xfId="0" applyFont="1" applyFill="1" applyBorder="1" applyAlignment="1">
      <alignment vertical="center" wrapText="1"/>
    </xf>
    <xf numFmtId="0" fontId="1"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1" fillId="2" borderId="1" xfId="0" applyFont="1" applyFill="1" applyBorder="1" applyAlignment="1">
      <alignment horizontal="left" vertical="top" wrapText="1"/>
    </xf>
    <xf numFmtId="15" fontId="1" fillId="2" borderId="1" xfId="0" applyNumberFormat="1" applyFont="1" applyFill="1" applyBorder="1" applyAlignment="1">
      <alignment horizontal="right" vertical="center" wrapText="1"/>
    </xf>
    <xf numFmtId="0" fontId="13" fillId="2" borderId="136" xfId="0" applyFont="1" applyFill="1" applyBorder="1" applyAlignment="1">
      <alignment vertical="center" wrapText="1"/>
    </xf>
    <xf numFmtId="0" fontId="13" fillId="2" borderId="140" xfId="0" applyFont="1" applyFill="1" applyBorder="1" applyAlignment="1">
      <alignment vertical="center" wrapText="1"/>
    </xf>
    <xf numFmtId="0" fontId="13" fillId="2" borderId="71" xfId="0" applyFont="1" applyFill="1" applyBorder="1" applyAlignment="1">
      <alignment vertical="center" wrapText="1"/>
    </xf>
    <xf numFmtId="0" fontId="16" fillId="2" borderId="1" xfId="0" applyFont="1" applyFill="1" applyBorder="1" applyAlignment="1">
      <alignment horizontal="center" vertical="center" wrapText="1"/>
    </xf>
    <xf numFmtId="0" fontId="13" fillId="2" borderId="131" xfId="0" applyFont="1" applyFill="1" applyBorder="1" applyAlignment="1">
      <alignment vertical="center" wrapText="1"/>
    </xf>
    <xf numFmtId="0" fontId="17" fillId="2" borderId="18" xfId="0" applyFont="1" applyFill="1" applyBorder="1" applyAlignment="1">
      <alignment horizontal="center" vertical="center" wrapText="1"/>
    </xf>
    <xf numFmtId="0" fontId="17" fillId="2" borderId="66" xfId="0" applyFont="1" applyFill="1" applyBorder="1" applyAlignment="1">
      <alignment horizontal="center" vertical="center" wrapText="1"/>
    </xf>
    <xf numFmtId="0" fontId="17" fillId="2" borderId="70" xfId="0" applyFont="1" applyFill="1" applyBorder="1" applyAlignment="1">
      <alignment horizontal="center" vertical="center" wrapText="1"/>
    </xf>
    <xf numFmtId="0" fontId="13" fillId="2" borderId="1" xfId="0" applyFont="1" applyFill="1" applyBorder="1" applyAlignment="1">
      <alignment vertical="top" wrapText="1"/>
    </xf>
    <xf numFmtId="0" fontId="13" fillId="2" borderId="66" xfId="0" applyFont="1" applyFill="1" applyBorder="1" applyAlignment="1">
      <alignment vertical="top" wrapText="1"/>
    </xf>
    <xf numFmtId="0" fontId="16" fillId="2" borderId="1" xfId="0" applyFont="1" applyFill="1" applyBorder="1" applyAlignment="1">
      <alignment vertical="top" wrapText="1"/>
    </xf>
    <xf numFmtId="0" fontId="13" fillId="2" borderId="66" xfId="0" applyFont="1" applyFill="1" applyBorder="1" applyAlignment="1">
      <alignment vertical="center" wrapText="1"/>
    </xf>
    <xf numFmtId="0" fontId="7" fillId="2" borderId="131" xfId="0" applyFont="1" applyFill="1" applyBorder="1" applyAlignment="1">
      <alignment vertical="center" wrapText="1"/>
    </xf>
    <xf numFmtId="0" fontId="7" fillId="2" borderId="66" xfId="0" applyFont="1" applyFill="1" applyBorder="1" applyAlignment="1">
      <alignment vertical="center" wrapText="1"/>
    </xf>
    <xf numFmtId="0" fontId="13" fillId="2" borderId="136" xfId="0" applyFont="1" applyFill="1" applyBorder="1"/>
    <xf numFmtId="0" fontId="13" fillId="2" borderId="140" xfId="0" applyFont="1" applyFill="1" applyBorder="1"/>
    <xf numFmtId="0" fontId="13" fillId="2" borderId="71" xfId="0" applyFont="1" applyFill="1" applyBorder="1"/>
    <xf numFmtId="0" fontId="18" fillId="2" borderId="1" xfId="0" applyFont="1" applyFill="1" applyBorder="1" applyAlignment="1">
      <alignment vertical="top"/>
    </xf>
    <xf numFmtId="0" fontId="33" fillId="2" borderId="1" xfId="0" applyFont="1" applyFill="1" applyBorder="1" applyAlignment="1">
      <alignment vertical="top"/>
    </xf>
    <xf numFmtId="0" fontId="34" fillId="0" borderId="0" xfId="0" applyFont="1"/>
    <xf numFmtId="0" fontId="35" fillId="0" borderId="0" xfId="0" applyFont="1"/>
    <xf numFmtId="0" fontId="18" fillId="0" borderId="0" xfId="0" applyFont="1"/>
    <xf numFmtId="0" fontId="33" fillId="3" borderId="1" xfId="0" applyFont="1" applyFill="1" applyBorder="1" applyAlignment="1">
      <alignment horizontal="left" vertical="top" wrapText="1"/>
    </xf>
    <xf numFmtId="0" fontId="18" fillId="2" borderId="1" xfId="0" applyFont="1" applyFill="1" applyBorder="1" applyAlignment="1">
      <alignment vertical="center"/>
    </xf>
    <xf numFmtId="0" fontId="33" fillId="2" borderId="1" xfId="0" applyFont="1" applyFill="1" applyBorder="1" applyAlignment="1">
      <alignment vertical="center"/>
    </xf>
    <xf numFmtId="0" fontId="34" fillId="0" borderId="0" xfId="0" applyFont="1" applyAlignment="1">
      <alignment vertical="top"/>
    </xf>
    <xf numFmtId="0" fontId="33" fillId="0" borderId="12" xfId="0" applyFont="1" applyBorder="1" applyAlignment="1">
      <alignment horizontal="left" vertical="center" wrapText="1"/>
    </xf>
    <xf numFmtId="0" fontId="33" fillId="0" borderId="98" xfId="0" applyFont="1" applyBorder="1" applyAlignment="1">
      <alignment horizontal="left" vertical="center" wrapText="1"/>
    </xf>
    <xf numFmtId="0" fontId="33" fillId="0" borderId="18" xfId="0" applyFont="1" applyBorder="1" applyAlignment="1">
      <alignment horizontal="left" vertical="top" wrapText="1"/>
    </xf>
    <xf numFmtId="0" fontId="33" fillId="0" borderId="18" xfId="0" applyFont="1" applyBorder="1" applyAlignment="1">
      <alignment horizontal="left" vertical="center" wrapText="1"/>
    </xf>
    <xf numFmtId="2" fontId="33" fillId="3" borderId="1" xfId="0" applyNumberFormat="1" applyFont="1" applyFill="1" applyBorder="1" applyAlignment="1">
      <alignment horizontal="center" vertical="center" wrapText="1"/>
    </xf>
    <xf numFmtId="0" fontId="31" fillId="3" borderId="1" xfId="0" applyFont="1" applyFill="1" applyBorder="1" applyAlignment="1">
      <alignment horizontal="right" vertical="center" wrapText="1"/>
    </xf>
    <xf numFmtId="0" fontId="18" fillId="0" borderId="0" xfId="0" applyFont="1" applyAlignment="1">
      <alignment vertical="center"/>
    </xf>
    <xf numFmtId="0" fontId="31" fillId="4" borderId="116" xfId="0" applyFont="1" applyFill="1" applyBorder="1" applyAlignment="1">
      <alignment horizontal="center" vertical="center" wrapText="1"/>
    </xf>
    <xf numFmtId="0" fontId="33" fillId="0" borderId="18" xfId="0" applyFont="1" applyBorder="1" applyAlignment="1">
      <alignment horizontal="center" vertical="center"/>
    </xf>
    <xf numFmtId="0" fontId="43" fillId="4" borderId="1" xfId="0" applyFont="1" applyFill="1" applyBorder="1" applyAlignment="1">
      <alignment horizontal="center"/>
    </xf>
    <xf numFmtId="0" fontId="33" fillId="0" borderId="98" xfId="0" applyFont="1" applyBorder="1" applyAlignment="1">
      <alignment horizontal="center" vertical="center"/>
    </xf>
    <xf numFmtId="0" fontId="33" fillId="0" borderId="12" xfId="0" applyFont="1" applyBorder="1" applyAlignment="1">
      <alignment horizontal="center" vertical="center"/>
    </xf>
    <xf numFmtId="0" fontId="18" fillId="0" borderId="12" xfId="0" applyFont="1" applyBorder="1" applyAlignment="1">
      <alignment horizontal="left" vertical="center" wrapText="1"/>
    </xf>
    <xf numFmtId="0" fontId="33" fillId="0" borderId="12" xfId="0" applyFont="1" applyBorder="1" applyAlignment="1">
      <alignment horizontal="left" vertical="top" wrapText="1"/>
    </xf>
    <xf numFmtId="0" fontId="31" fillId="0" borderId="12" xfId="0" applyFont="1" applyBorder="1" applyAlignment="1">
      <alignment horizontal="center" vertical="center" wrapText="1"/>
    </xf>
    <xf numFmtId="0" fontId="33" fillId="0" borderId="12" xfId="0" applyFont="1" applyBorder="1"/>
    <xf numFmtId="0" fontId="31" fillId="0" borderId="98" xfId="0" applyFont="1" applyBorder="1" applyAlignment="1">
      <alignment horizontal="center" vertical="center" wrapText="1"/>
    </xf>
    <xf numFmtId="0" fontId="31" fillId="0" borderId="52" xfId="0" applyFont="1" applyBorder="1" applyAlignment="1">
      <alignment horizontal="center" vertical="center" wrapText="1"/>
    </xf>
    <xf numFmtId="0" fontId="31" fillId="0" borderId="18" xfId="0" applyFont="1" applyBorder="1" applyAlignment="1">
      <alignment horizontal="center" vertical="center" wrapText="1"/>
    </xf>
    <xf numFmtId="0" fontId="33" fillId="0" borderId="18" xfId="0" applyFont="1" applyBorder="1"/>
    <xf numFmtId="0" fontId="33" fillId="0" borderId="52" xfId="0" applyFont="1" applyBorder="1" applyAlignment="1">
      <alignment horizontal="center" vertical="center"/>
    </xf>
    <xf numFmtId="0" fontId="33" fillId="0" borderId="52" xfId="0" applyFont="1" applyBorder="1"/>
    <xf numFmtId="0" fontId="31" fillId="0" borderId="120" xfId="0" applyFont="1" applyBorder="1"/>
    <xf numFmtId="0" fontId="31" fillId="0" borderId="77" xfId="0" applyFont="1" applyBorder="1"/>
    <xf numFmtId="0" fontId="33" fillId="0" borderId="0" xfId="0" applyFont="1"/>
    <xf numFmtId="0" fontId="33" fillId="0" borderId="0" xfId="0" applyFont="1" applyAlignment="1">
      <alignment vertical="top"/>
    </xf>
    <xf numFmtId="0" fontId="18" fillId="0" borderId="98" xfId="0" applyFont="1" applyBorder="1" applyAlignment="1">
      <alignment horizontal="left" vertical="center" wrapText="1"/>
    </xf>
    <xf numFmtId="0" fontId="18" fillId="0" borderId="62" xfId="0" applyFont="1" applyBorder="1" applyAlignment="1">
      <alignment horizontal="left" vertical="center" wrapText="1"/>
    </xf>
    <xf numFmtId="0" fontId="33" fillId="0" borderId="12" xfId="0" applyFont="1" applyBorder="1" applyAlignment="1">
      <alignment vertical="top" wrapText="1"/>
    </xf>
    <xf numFmtId="0" fontId="44" fillId="5" borderId="95" xfId="0" applyFont="1" applyFill="1" applyBorder="1" applyAlignment="1">
      <alignment horizontal="left" vertical="center" wrapText="1"/>
    </xf>
    <xf numFmtId="0" fontId="33" fillId="0" borderId="95" xfId="0" applyFont="1" applyBorder="1" applyAlignment="1">
      <alignment horizontal="left" vertical="center" wrapText="1"/>
    </xf>
    <xf numFmtId="0" fontId="33" fillId="5" borderId="95" xfId="0" applyFont="1" applyFill="1" applyBorder="1" applyAlignment="1">
      <alignment horizontal="left" vertical="center" wrapText="1"/>
    </xf>
    <xf numFmtId="0" fontId="33" fillId="0" borderId="98" xfId="0" applyFont="1" applyBorder="1" applyAlignment="1">
      <alignment horizontal="left" vertical="top" wrapText="1"/>
    </xf>
    <xf numFmtId="0" fontId="33" fillId="0" borderId="98" xfId="0" applyFont="1" applyBorder="1"/>
    <xf numFmtId="0" fontId="33" fillId="0" borderId="120" xfId="0" applyFont="1" applyBorder="1"/>
    <xf numFmtId="0" fontId="33" fillId="0" borderId="77" xfId="0" applyFont="1" applyBorder="1"/>
    <xf numFmtId="0" fontId="33" fillId="0" borderId="125" xfId="0" applyFont="1" applyBorder="1"/>
    <xf numFmtId="0" fontId="33" fillId="3" borderId="1" xfId="0" applyFont="1" applyFill="1" applyBorder="1" applyAlignment="1">
      <alignment vertical="top" wrapText="1"/>
    </xf>
    <xf numFmtId="9" fontId="33" fillId="3" borderId="1" xfId="0" applyNumberFormat="1" applyFont="1" applyFill="1" applyBorder="1" applyAlignment="1">
      <alignment vertical="top" wrapText="1"/>
    </xf>
    <xf numFmtId="0" fontId="33" fillId="3" borderId="1" xfId="0" applyFont="1" applyFill="1" applyBorder="1" applyAlignment="1">
      <alignment horizontal="center" vertical="top" wrapText="1"/>
    </xf>
    <xf numFmtId="9" fontId="33" fillId="3" borderId="1" xfId="0" applyNumberFormat="1" applyFont="1" applyFill="1" applyBorder="1" applyAlignment="1">
      <alignment horizontal="center" vertical="top" wrapText="1"/>
    </xf>
    <xf numFmtId="0" fontId="33" fillId="3" borderId="1" xfId="0" applyFont="1" applyFill="1" applyBorder="1" applyAlignment="1">
      <alignment vertical="top"/>
    </xf>
    <xf numFmtId="2" fontId="33" fillId="3" borderId="1" xfId="0" applyNumberFormat="1" applyFont="1" applyFill="1" applyBorder="1" applyAlignment="1">
      <alignment horizontal="center" vertical="top" wrapText="1"/>
    </xf>
    <xf numFmtId="0" fontId="33" fillId="3" borderId="1" xfId="0" applyFont="1" applyFill="1" applyBorder="1" applyAlignment="1">
      <alignment horizontal="center" vertical="center" wrapText="1"/>
    </xf>
    <xf numFmtId="9" fontId="31" fillId="3" borderId="1" xfId="0" applyNumberFormat="1" applyFont="1" applyFill="1" applyBorder="1" applyAlignment="1">
      <alignment vertical="top" wrapText="1"/>
    </xf>
    <xf numFmtId="0" fontId="41" fillId="0" borderId="0" xfId="0" applyFont="1"/>
    <xf numFmtId="0" fontId="40" fillId="0" borderId="0" xfId="0" applyFont="1"/>
    <xf numFmtId="9" fontId="33" fillId="3" borderId="1" xfId="0" applyNumberFormat="1" applyFont="1" applyFill="1" applyBorder="1" applyAlignment="1">
      <alignment vertical="top"/>
    </xf>
    <xf numFmtId="0" fontId="33" fillId="3" borderId="1" xfId="0" applyFont="1" applyFill="1" applyBorder="1" applyAlignment="1">
      <alignment horizontal="left" vertical="top"/>
    </xf>
    <xf numFmtId="0" fontId="40" fillId="3" borderId="1" xfId="0" applyFont="1" applyFill="1" applyBorder="1"/>
    <xf numFmtId="0" fontId="20" fillId="2" borderId="1" xfId="0" applyFont="1" applyFill="1" applyBorder="1" applyAlignment="1">
      <alignment vertical="top"/>
    </xf>
    <xf numFmtId="0" fontId="12" fillId="2" borderId="1" xfId="0" applyFont="1" applyFill="1" applyBorder="1" applyAlignment="1">
      <alignment vertical="top"/>
    </xf>
    <xf numFmtId="0" fontId="47" fillId="0" borderId="0" xfId="0" applyFont="1"/>
    <xf numFmtId="0" fontId="46" fillId="0" borderId="0" xfId="0" applyFont="1"/>
    <xf numFmtId="0" fontId="20" fillId="2" borderId="1" xfId="0" applyFont="1" applyFill="1" applyBorder="1" applyAlignment="1">
      <alignment vertical="center"/>
    </xf>
    <xf numFmtId="0" fontId="50" fillId="4" borderId="66" xfId="0" applyFont="1" applyFill="1" applyBorder="1" applyAlignment="1">
      <alignment horizontal="left" vertical="top" wrapText="1"/>
    </xf>
    <xf numFmtId="9" fontId="51" fillId="4" borderId="69" xfId="0" applyNumberFormat="1" applyFont="1" applyFill="1" applyBorder="1" applyAlignment="1">
      <alignment horizontal="center" vertical="top" wrapText="1"/>
    </xf>
    <xf numFmtId="9" fontId="51" fillId="4" borderId="70" xfId="0" applyNumberFormat="1" applyFont="1" applyFill="1" applyBorder="1" applyAlignment="1">
      <alignment horizontal="center" vertical="top" wrapText="1"/>
    </xf>
    <xf numFmtId="0" fontId="51" fillId="4" borderId="70" xfId="0" applyFont="1" applyFill="1" applyBorder="1" applyAlignment="1">
      <alignment vertical="top" wrapText="1"/>
    </xf>
    <xf numFmtId="0" fontId="50" fillId="4" borderId="70" xfId="0" applyFont="1" applyFill="1" applyBorder="1" applyAlignment="1">
      <alignment vertical="top" wrapText="1"/>
    </xf>
    <xf numFmtId="0" fontId="54" fillId="4" borderId="71" xfId="0" applyFont="1" applyFill="1" applyBorder="1" applyAlignment="1">
      <alignment vertical="top" wrapText="1"/>
    </xf>
    <xf numFmtId="2" fontId="48" fillId="4" borderId="70" xfId="0" applyNumberFormat="1" applyFont="1" applyFill="1" applyBorder="1" applyAlignment="1">
      <alignment horizontal="center" vertical="top" wrapText="1"/>
    </xf>
    <xf numFmtId="0" fontId="56" fillId="0" borderId="74" xfId="0" applyFont="1" applyBorder="1"/>
    <xf numFmtId="0" fontId="51" fillId="4" borderId="76" xfId="0" applyFont="1" applyFill="1" applyBorder="1" applyAlignment="1">
      <alignment horizontal="center" vertical="top" wrapText="1"/>
    </xf>
    <xf numFmtId="0" fontId="51" fillId="4" borderId="18" xfId="0" applyFont="1" applyFill="1" applyBorder="1" applyAlignment="1">
      <alignment horizontal="center" vertical="top" wrapText="1"/>
    </xf>
    <xf numFmtId="0" fontId="51" fillId="4" borderId="18" xfId="0" applyFont="1" applyFill="1" applyBorder="1" applyAlignment="1">
      <alignment vertical="top" wrapText="1"/>
    </xf>
    <xf numFmtId="0" fontId="51" fillId="4" borderId="77" xfId="0" applyFont="1" applyFill="1" applyBorder="1" applyAlignment="1">
      <alignment vertical="top" wrapText="1"/>
    </xf>
    <xf numFmtId="0" fontId="57" fillId="4" borderId="78" xfId="0" applyFont="1" applyFill="1" applyBorder="1" applyAlignment="1">
      <alignment horizontal="left" vertical="top" wrapText="1"/>
    </xf>
    <xf numFmtId="2" fontId="48" fillId="4" borderId="18" xfId="0" applyNumberFormat="1" applyFont="1" applyFill="1" applyBorder="1" applyAlignment="1">
      <alignment horizontal="center" vertical="top" wrapText="1"/>
    </xf>
    <xf numFmtId="0" fontId="51" fillId="4" borderId="76" xfId="0" applyFont="1" applyFill="1" applyBorder="1" applyAlignment="1">
      <alignment vertical="top" wrapText="1"/>
    </xf>
    <xf numFmtId="0" fontId="51" fillId="4" borderId="82" xfId="0" applyFont="1" applyFill="1" applyBorder="1" applyAlignment="1">
      <alignment vertical="top" wrapText="1"/>
    </xf>
    <xf numFmtId="0" fontId="57" fillId="4" borderId="83" xfId="0" applyFont="1" applyFill="1" applyBorder="1" applyAlignment="1">
      <alignment horizontal="left" vertical="top" wrapText="1"/>
    </xf>
    <xf numFmtId="2" fontId="48" fillId="4" borderId="76" xfId="0" applyNumberFormat="1" applyFont="1" applyFill="1" applyBorder="1" applyAlignment="1">
      <alignment horizontal="center" vertical="top" wrapText="1"/>
    </xf>
    <xf numFmtId="0" fontId="12" fillId="0" borderId="18" xfId="0" applyFont="1" applyBorder="1" applyAlignment="1">
      <alignment horizontal="center" vertical="center"/>
    </xf>
    <xf numFmtId="0" fontId="12" fillId="0" borderId="95" xfId="0" applyFont="1" applyBorder="1" applyAlignment="1">
      <alignment horizontal="center" vertical="center"/>
    </xf>
    <xf numFmtId="0" fontId="12" fillId="0" borderId="12" xfId="0" applyFont="1" applyBorder="1" applyAlignment="1">
      <alignment horizontal="center" vertical="center"/>
    </xf>
    <xf numFmtId="0" fontId="62" fillId="0" borderId="0" xfId="0" applyFont="1"/>
    <xf numFmtId="9" fontId="23" fillId="0" borderId="12" xfId="0" applyNumberFormat="1" applyFont="1" applyBorder="1" applyAlignment="1">
      <alignment horizontal="center" vertical="center" wrapText="1"/>
    </xf>
    <xf numFmtId="0" fontId="66" fillId="0" borderId="12" xfId="0" applyFont="1" applyBorder="1" applyAlignment="1">
      <alignment horizontal="center" vertical="center" wrapText="1"/>
    </xf>
    <xf numFmtId="0" fontId="23" fillId="0" borderId="18" xfId="0" applyFont="1" applyBorder="1" applyAlignment="1">
      <alignment horizontal="center" vertical="center" wrapText="1"/>
    </xf>
    <xf numFmtId="0" fontId="66" fillId="0" borderId="18" xfId="0" applyFont="1" applyBorder="1" applyAlignment="1">
      <alignment horizontal="center" vertical="center" wrapText="1"/>
    </xf>
    <xf numFmtId="0" fontId="23" fillId="0" borderId="95" xfId="0" applyFont="1" applyBorder="1" applyAlignment="1">
      <alignment horizontal="center" vertical="center" wrapText="1"/>
    </xf>
    <xf numFmtId="0" fontId="66" fillId="0" borderId="95"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2" xfId="0" applyFont="1" applyBorder="1" applyAlignment="1">
      <alignment horizontal="left" vertical="center" wrapText="1"/>
    </xf>
    <xf numFmtId="9" fontId="23" fillId="0" borderId="98" xfId="0" applyNumberFormat="1" applyFont="1" applyBorder="1" applyAlignment="1">
      <alignment horizontal="center" vertical="center" wrapText="1"/>
    </xf>
    <xf numFmtId="0" fontId="66" fillId="0" borderId="98" xfId="0" applyFont="1" applyBorder="1" applyAlignment="1">
      <alignment horizontal="left" vertical="top" wrapText="1"/>
    </xf>
    <xf numFmtId="0" fontId="23" fillId="0" borderId="98" xfId="0" applyFont="1" applyBorder="1" applyAlignment="1">
      <alignment horizontal="left" vertical="center" wrapText="1"/>
    </xf>
    <xf numFmtId="0" fontId="23" fillId="0" borderId="74" xfId="0" applyFont="1" applyBorder="1" applyAlignment="1">
      <alignment horizontal="center" vertical="center" wrapText="1"/>
    </xf>
    <xf numFmtId="0" fontId="23" fillId="0" borderId="18" xfId="0" applyFont="1" applyBorder="1" applyAlignment="1">
      <alignment horizontal="left" vertical="top" wrapText="1"/>
    </xf>
    <xf numFmtId="0" fontId="66" fillId="0" borderId="18" xfId="0" applyFont="1" applyBorder="1" applyAlignment="1">
      <alignment horizontal="left" vertical="center" wrapText="1"/>
    </xf>
    <xf numFmtId="9" fontId="23" fillId="0" borderId="18" xfId="0" applyNumberFormat="1" applyFont="1" applyBorder="1" applyAlignment="1">
      <alignment horizontal="center" vertical="center" wrapText="1"/>
    </xf>
    <xf numFmtId="0" fontId="66" fillId="0" borderId="18" xfId="0" applyFont="1" applyBorder="1" applyAlignment="1">
      <alignment horizontal="left" vertical="top" wrapText="1"/>
    </xf>
    <xf numFmtId="0" fontId="23" fillId="0" borderId="18" xfId="0" applyFont="1" applyBorder="1" applyAlignment="1">
      <alignment horizontal="left" vertical="center" wrapText="1"/>
    </xf>
    <xf numFmtId="0" fontId="23" fillId="0" borderId="52" xfId="0" applyFont="1" applyBorder="1" applyAlignment="1">
      <alignment horizontal="center" vertical="center" wrapText="1"/>
    </xf>
    <xf numFmtId="0" fontId="66" fillId="0" borderId="52" xfId="0" applyFont="1" applyBorder="1" applyAlignment="1">
      <alignment horizontal="left" vertical="center" wrapText="1"/>
    </xf>
    <xf numFmtId="0" fontId="23" fillId="5" borderId="18" xfId="0" applyFont="1" applyFill="1" applyBorder="1" applyAlignment="1">
      <alignment horizontal="center" vertical="center" wrapText="1"/>
    </xf>
    <xf numFmtId="9" fontId="23" fillId="0" borderId="10" xfId="0" applyNumberFormat="1" applyFont="1" applyBorder="1" applyAlignment="1">
      <alignment horizontal="center" vertical="center" wrapText="1"/>
    </xf>
    <xf numFmtId="0" fontId="66" fillId="0" borderId="18" xfId="0" applyFont="1" applyBorder="1" applyAlignment="1">
      <alignment horizontal="center" wrapText="1"/>
    </xf>
    <xf numFmtId="0" fontId="23" fillId="0" borderId="18" xfId="0" applyFont="1" applyBorder="1" applyAlignment="1">
      <alignment horizontal="center" wrapText="1"/>
    </xf>
    <xf numFmtId="0" fontId="23" fillId="0" borderId="16" xfId="0" applyFont="1" applyBorder="1" applyAlignment="1">
      <alignment horizontal="center" vertical="center" wrapText="1"/>
    </xf>
    <xf numFmtId="0" fontId="23" fillId="0" borderId="26" xfId="0" applyFont="1" applyBorder="1" applyAlignment="1">
      <alignment horizontal="center" vertical="center" wrapText="1"/>
    </xf>
    <xf numFmtId="0" fontId="23" fillId="5" borderId="12" xfId="0" applyFont="1" applyFill="1" applyBorder="1" applyAlignment="1">
      <alignment horizontal="center" vertical="center" wrapText="1"/>
    </xf>
    <xf numFmtId="164" fontId="71" fillId="0" borderId="58" xfId="0" applyNumberFormat="1" applyFont="1" applyBorder="1" applyAlignment="1">
      <alignment horizontal="center" vertical="center" wrapText="1"/>
    </xf>
    <xf numFmtId="0" fontId="72" fillId="0" borderId="0" xfId="0" applyFont="1"/>
    <xf numFmtId="0" fontId="72" fillId="0" borderId="0" xfId="0" applyFont="1" applyAlignment="1">
      <alignment wrapText="1"/>
    </xf>
    <xf numFmtId="0" fontId="64" fillId="3" borderId="1" xfId="0" applyFont="1" applyFill="1" applyBorder="1" applyAlignment="1">
      <alignment vertical="center" wrapText="1"/>
    </xf>
    <xf numFmtId="2" fontId="23" fillId="3" borderId="1" xfId="0" applyNumberFormat="1" applyFont="1" applyFill="1" applyBorder="1" applyAlignment="1">
      <alignment horizontal="center" vertical="center" wrapText="1"/>
    </xf>
    <xf numFmtId="0" fontId="73" fillId="0" borderId="101" xfId="0" applyFont="1" applyBorder="1" applyAlignment="1">
      <alignment horizontal="left" vertical="top" wrapText="1"/>
    </xf>
    <xf numFmtId="0" fontId="74" fillId="3" borderId="71" xfId="0" applyFont="1" applyFill="1" applyBorder="1" applyAlignment="1">
      <alignment horizontal="left" vertical="top" wrapText="1"/>
    </xf>
    <xf numFmtId="0" fontId="73" fillId="0" borderId="77" xfId="0" applyFont="1" applyBorder="1" applyAlignment="1">
      <alignment horizontal="left" vertical="top" wrapText="1"/>
    </xf>
    <xf numFmtId="0" fontId="74" fillId="3" borderId="78" xfId="0" applyFont="1" applyFill="1" applyBorder="1" applyAlignment="1">
      <alignment horizontal="left" vertical="top" wrapText="1"/>
    </xf>
    <xf numFmtId="0" fontId="73" fillId="0" borderId="53" xfId="0" applyFont="1" applyBorder="1" applyAlignment="1">
      <alignment horizontal="left" vertical="top" wrapText="1"/>
    </xf>
    <xf numFmtId="0" fontId="74" fillId="3" borderId="83" xfId="0" applyFont="1" applyFill="1" applyBorder="1" applyAlignment="1">
      <alignment horizontal="left" vertical="top" wrapText="1"/>
    </xf>
    <xf numFmtId="0" fontId="21" fillId="4" borderId="56" xfId="0" applyFont="1" applyFill="1" applyBorder="1" applyAlignment="1">
      <alignment horizontal="center" vertical="center" wrapText="1"/>
    </xf>
    <xf numFmtId="0" fontId="23" fillId="0" borderId="76" xfId="0" applyFont="1" applyBorder="1" applyAlignment="1">
      <alignment horizontal="center" vertical="center" wrapText="1"/>
    </xf>
    <xf numFmtId="9" fontId="23" fillId="0" borderId="147" xfId="0" applyNumberFormat="1" applyFont="1" applyBorder="1" applyAlignment="1">
      <alignment horizontal="center" vertical="center" wrapText="1"/>
    </xf>
    <xf numFmtId="0" fontId="23" fillId="0" borderId="157" xfId="0" applyFont="1" applyBorder="1" applyAlignment="1">
      <alignment horizontal="center" vertical="center" wrapText="1"/>
    </xf>
    <xf numFmtId="0" fontId="23" fillId="0" borderId="103" xfId="0" applyFont="1" applyBorder="1" applyAlignment="1">
      <alignment horizontal="center" vertical="center" wrapText="1"/>
    </xf>
    <xf numFmtId="9" fontId="23" fillId="0" borderId="159" xfId="0" applyNumberFormat="1" applyFont="1" applyBorder="1" applyAlignment="1">
      <alignment horizontal="center" vertical="center" wrapText="1"/>
    </xf>
    <xf numFmtId="0" fontId="23" fillId="0" borderId="160" xfId="0" applyFont="1" applyBorder="1" applyAlignment="1">
      <alignment horizontal="center" vertical="center" wrapText="1"/>
    </xf>
    <xf numFmtId="0" fontId="23" fillId="0" borderId="78" xfId="0" applyFont="1" applyBorder="1" applyAlignment="1">
      <alignment horizontal="center" vertical="center" wrapText="1"/>
    </xf>
    <xf numFmtId="0" fontId="23" fillId="0" borderId="161" xfId="0" applyFont="1" applyBorder="1" applyAlignment="1">
      <alignment horizontal="center" vertical="center" wrapText="1"/>
    </xf>
    <xf numFmtId="0" fontId="23" fillId="0" borderId="133" xfId="0" applyFont="1" applyBorder="1" applyAlignment="1">
      <alignment horizontal="center" vertical="center" wrapText="1"/>
    </xf>
    <xf numFmtId="0" fontId="66" fillId="0" borderId="95" xfId="0" applyFont="1" applyBorder="1" applyAlignment="1">
      <alignment horizontal="left" vertical="center" wrapText="1"/>
    </xf>
    <xf numFmtId="0" fontId="61" fillId="0" borderId="117" xfId="0" applyFont="1" applyBorder="1" applyAlignment="1">
      <alignment vertical="top"/>
    </xf>
    <xf numFmtId="0" fontId="61" fillId="0" borderId="106" xfId="0" applyFont="1" applyBorder="1" applyAlignment="1">
      <alignment vertical="top"/>
    </xf>
    <xf numFmtId="0" fontId="23" fillId="3" borderId="1" xfId="0" applyFont="1" applyFill="1" applyBorder="1" applyAlignment="1">
      <alignment vertical="top"/>
    </xf>
    <xf numFmtId="0" fontId="23" fillId="3" borderId="1" xfId="0" applyFont="1" applyFill="1" applyBorder="1" applyAlignment="1">
      <alignment horizontal="center" vertical="center" wrapText="1"/>
    </xf>
    <xf numFmtId="0" fontId="23" fillId="3" borderId="1" xfId="0" applyFont="1" applyFill="1" applyBorder="1" applyAlignment="1">
      <alignment horizontal="left" vertical="top" wrapText="1"/>
    </xf>
    <xf numFmtId="9" fontId="64" fillId="3" borderId="1" xfId="0" applyNumberFormat="1" applyFont="1" applyFill="1" applyBorder="1" applyAlignment="1">
      <alignment vertical="top" wrapText="1"/>
    </xf>
    <xf numFmtId="0" fontId="67" fillId="0" borderId="0" xfId="0" applyFont="1"/>
    <xf numFmtId="0" fontId="63" fillId="0" borderId="0" xfId="0" applyFont="1"/>
    <xf numFmtId="9" fontId="23" fillId="3" borderId="1" xfId="0" applyNumberFormat="1" applyFont="1" applyFill="1" applyBorder="1" applyAlignment="1">
      <alignment vertical="top"/>
    </xf>
    <xf numFmtId="0" fontId="66" fillId="0" borderId="147" xfId="0" applyFont="1" applyBorder="1" applyAlignment="1">
      <alignment horizontal="left" vertical="top" wrapText="1"/>
    </xf>
    <xf numFmtId="0" fontId="66" fillId="0" borderId="157" xfId="0" applyFont="1" applyBorder="1" applyAlignment="1">
      <alignment horizontal="left" vertical="center" wrapText="1"/>
    </xf>
    <xf numFmtId="0" fontId="66" fillId="2" borderId="1" xfId="0" applyFont="1" applyFill="1" applyBorder="1" applyAlignment="1">
      <alignment vertical="top"/>
    </xf>
    <xf numFmtId="0" fontId="66" fillId="0" borderId="12" xfId="0" applyFont="1" applyBorder="1" applyAlignment="1">
      <alignment vertical="top"/>
    </xf>
    <xf numFmtId="0" fontId="23" fillId="2" borderId="1" xfId="0" applyFont="1" applyFill="1" applyBorder="1" applyAlignment="1">
      <alignment vertical="top"/>
    </xf>
    <xf numFmtId="0" fontId="66" fillId="0" borderId="0" xfId="0" applyFont="1"/>
    <xf numFmtId="0" fontId="66" fillId="0" borderId="18" xfId="0" applyFont="1" applyBorder="1" applyAlignment="1">
      <alignment horizontal="left" vertical="top"/>
    </xf>
    <xf numFmtId="0" fontId="23" fillId="3" borderId="23" xfId="0" applyFont="1" applyFill="1" applyBorder="1" applyAlignment="1">
      <alignment horizontal="left" vertical="top" wrapText="1"/>
    </xf>
    <xf numFmtId="0" fontId="66" fillId="0" borderId="18" xfId="0" applyFont="1" applyBorder="1" applyAlignment="1">
      <alignment vertical="center" wrapText="1"/>
    </xf>
    <xf numFmtId="0" fontId="66" fillId="0" borderId="147" xfId="0" applyFont="1" applyBorder="1" applyAlignment="1">
      <alignment horizontal="left" vertical="center" wrapText="1"/>
    </xf>
    <xf numFmtId="0" fontId="66" fillId="0" borderId="157" xfId="0" applyFont="1" applyBorder="1" applyAlignment="1">
      <alignment vertical="center" wrapText="1"/>
    </xf>
    <xf numFmtId="0" fontId="66" fillId="0" borderId="95" xfId="0" applyFont="1" applyBorder="1" applyAlignment="1">
      <alignment horizontal="left" vertical="top" wrapText="1"/>
    </xf>
    <xf numFmtId="0" fontId="23" fillId="0" borderId="95" xfId="0" applyFont="1" applyBorder="1" applyAlignment="1">
      <alignment horizontal="left" vertical="center" wrapText="1"/>
    </xf>
    <xf numFmtId="0" fontId="23" fillId="0" borderId="76" xfId="0" applyFont="1" applyBorder="1" applyAlignment="1">
      <alignment horizontal="left" vertical="center" wrapText="1"/>
    </xf>
    <xf numFmtId="0" fontId="23" fillId="0" borderId="147" xfId="0" applyFont="1" applyBorder="1" applyAlignment="1">
      <alignment horizontal="left" vertical="center" wrapText="1"/>
    </xf>
    <xf numFmtId="0" fontId="23" fillId="0" borderId="157" xfId="0" applyFont="1" applyBorder="1" applyAlignment="1">
      <alignment horizontal="left" vertical="center" wrapText="1"/>
    </xf>
    <xf numFmtId="0" fontId="23" fillId="0" borderId="81" xfId="0" applyFont="1" applyBorder="1" applyAlignment="1">
      <alignment vertical="center" wrapText="1"/>
    </xf>
    <xf numFmtId="0" fontId="23" fillId="0" borderId="75" xfId="0" applyFont="1" applyBorder="1" applyAlignment="1">
      <alignment vertical="center" wrapText="1"/>
    </xf>
    <xf numFmtId="2" fontId="74" fillId="3" borderId="171" xfId="0" applyNumberFormat="1" applyFont="1" applyFill="1" applyBorder="1" applyAlignment="1">
      <alignment horizontal="center" vertical="center" wrapText="1"/>
    </xf>
    <xf numFmtId="2" fontId="74" fillId="3" borderId="168" xfId="0" applyNumberFormat="1" applyFont="1" applyFill="1" applyBorder="1" applyAlignment="1">
      <alignment horizontal="center" vertical="center" wrapText="1"/>
    </xf>
    <xf numFmtId="2" fontId="74" fillId="3" borderId="174" xfId="0" applyNumberFormat="1" applyFont="1" applyFill="1" applyBorder="1" applyAlignment="1">
      <alignment horizontal="center" vertical="center" wrapText="1"/>
    </xf>
    <xf numFmtId="2" fontId="74" fillId="3" borderId="98" xfId="0" applyNumberFormat="1" applyFont="1" applyFill="1" applyBorder="1" applyAlignment="1">
      <alignment horizontal="center" vertical="center" wrapText="1"/>
    </xf>
    <xf numFmtId="2" fontId="74" fillId="3" borderId="12" xfId="0" applyNumberFormat="1" applyFont="1" applyFill="1" applyBorder="1" applyAlignment="1">
      <alignment horizontal="center" vertical="center" wrapText="1"/>
    </xf>
    <xf numFmtId="165" fontId="74" fillId="3" borderId="70" xfId="0" applyNumberFormat="1" applyFont="1" applyFill="1" applyBorder="1" applyAlignment="1">
      <alignment horizontal="center" vertical="top" wrapText="1"/>
    </xf>
    <xf numFmtId="2" fontId="74" fillId="3" borderId="18" xfId="0" applyNumberFormat="1" applyFont="1" applyFill="1" applyBorder="1" applyAlignment="1">
      <alignment horizontal="center" vertical="top" wrapText="1"/>
    </xf>
    <xf numFmtId="165" fontId="74" fillId="3" borderId="18" xfId="0" applyNumberFormat="1" applyFont="1" applyFill="1" applyBorder="1" applyAlignment="1">
      <alignment horizontal="center" vertical="top" wrapText="1"/>
    </xf>
    <xf numFmtId="2" fontId="74" fillId="3" borderId="76" xfId="0" applyNumberFormat="1" applyFont="1" applyFill="1" applyBorder="1" applyAlignment="1">
      <alignment horizontal="center" vertical="top" wrapText="1"/>
    </xf>
    <xf numFmtId="164" fontId="74" fillId="0" borderId="12" xfId="0" applyNumberFormat="1" applyFont="1" applyBorder="1" applyAlignment="1">
      <alignment horizontal="center" vertical="center" wrapText="1"/>
    </xf>
    <xf numFmtId="164" fontId="74" fillId="0" borderId="18" xfId="0" applyNumberFormat="1" applyFont="1" applyBorder="1" applyAlignment="1">
      <alignment horizontal="center" vertical="center" wrapText="1"/>
    </xf>
    <xf numFmtId="164" fontId="74" fillId="0" borderId="95" xfId="0" applyNumberFormat="1" applyFont="1" applyBorder="1" applyAlignment="1">
      <alignment horizontal="center" vertical="center" wrapText="1"/>
    </xf>
    <xf numFmtId="164" fontId="74" fillId="0" borderId="76" xfId="0" applyNumberFormat="1" applyFont="1" applyBorder="1" applyAlignment="1">
      <alignment horizontal="center" vertical="center" wrapText="1"/>
    </xf>
    <xf numFmtId="164" fontId="74" fillId="0" borderId="147" xfId="0" applyNumberFormat="1" applyFont="1" applyBorder="1" applyAlignment="1">
      <alignment horizontal="center" vertical="center" wrapText="1"/>
    </xf>
    <xf numFmtId="164" fontId="74" fillId="0" borderId="157" xfId="0" applyNumberFormat="1" applyFont="1" applyBorder="1" applyAlignment="1">
      <alignment horizontal="center" vertical="center" wrapText="1"/>
    </xf>
    <xf numFmtId="164" fontId="74" fillId="0" borderId="98" xfId="0" applyNumberFormat="1" applyFont="1" applyBorder="1" applyAlignment="1">
      <alignment horizontal="center" vertical="center" wrapText="1"/>
    </xf>
    <xf numFmtId="164" fontId="74" fillId="0" borderId="52" xfId="0" applyNumberFormat="1" applyFont="1" applyBorder="1" applyAlignment="1">
      <alignment horizontal="center" vertical="center" wrapText="1"/>
    </xf>
    <xf numFmtId="0" fontId="23" fillId="0" borderId="12" xfId="0" applyFont="1" applyBorder="1" applyAlignment="1">
      <alignment vertical="center" wrapText="1"/>
    </xf>
    <xf numFmtId="0" fontId="23" fillId="0" borderId="18" xfId="0" applyFont="1" applyBorder="1" applyAlignment="1">
      <alignment vertical="center" wrapText="1"/>
    </xf>
    <xf numFmtId="0" fontId="66" fillId="0" borderId="0" xfId="0" applyFont="1" applyAlignment="1">
      <alignment horizontal="left" vertical="center" wrapText="1"/>
    </xf>
    <xf numFmtId="0" fontId="23" fillId="0" borderId="17" xfId="0" applyFont="1" applyBorder="1" applyAlignment="1">
      <alignment horizontal="left" vertical="center" wrapText="1"/>
    </xf>
    <xf numFmtId="0" fontId="23" fillId="0" borderId="119" xfId="0" applyFont="1" applyBorder="1" applyAlignment="1">
      <alignment horizontal="center" vertical="center"/>
    </xf>
    <xf numFmtId="164" fontId="23" fillId="0" borderId="12" xfId="0" applyNumberFormat="1" applyFont="1" applyBorder="1" applyAlignment="1">
      <alignment horizontal="center" vertical="center" wrapText="1"/>
    </xf>
    <xf numFmtId="164" fontId="23" fillId="0" borderId="67" xfId="0" applyNumberFormat="1" applyFont="1" applyBorder="1" applyAlignment="1">
      <alignment horizontal="center" vertical="center" wrapText="1"/>
    </xf>
    <xf numFmtId="0" fontId="23" fillId="0" borderId="18" xfId="0" applyFont="1" applyBorder="1" applyAlignment="1">
      <alignment horizontal="center" vertical="center"/>
    </xf>
    <xf numFmtId="0" fontId="23" fillId="0" borderId="76" xfId="0" applyFont="1" applyBorder="1" applyAlignment="1">
      <alignment horizontal="center" vertical="center"/>
    </xf>
    <xf numFmtId="0" fontId="23" fillId="0" borderId="147" xfId="0" applyFont="1" applyBorder="1" applyAlignment="1">
      <alignment horizontal="center" vertical="center"/>
    </xf>
    <xf numFmtId="164" fontId="23" fillId="0" borderId="177" xfId="0" applyNumberFormat="1" applyFont="1" applyBorder="1" applyAlignment="1">
      <alignment horizontal="center" vertical="center" wrapText="1"/>
    </xf>
    <xf numFmtId="164" fontId="23" fillId="0" borderId="15" xfId="0" applyNumberFormat="1" applyFont="1" applyBorder="1" applyAlignment="1">
      <alignment horizontal="center" vertical="center" wrapText="1"/>
    </xf>
    <xf numFmtId="0" fontId="23" fillId="0" borderId="157" xfId="0" applyFont="1" applyBorder="1" applyAlignment="1">
      <alignment horizontal="center" vertical="center"/>
    </xf>
    <xf numFmtId="164" fontId="23" fillId="0" borderId="180" xfId="0" applyNumberFormat="1" applyFont="1" applyBorder="1" applyAlignment="1">
      <alignment horizontal="center" vertical="center" wrapText="1"/>
    </xf>
    <xf numFmtId="0" fontId="23" fillId="0" borderId="98" xfId="0" applyFont="1" applyBorder="1" applyAlignment="1">
      <alignment horizontal="center" vertical="center"/>
    </xf>
    <xf numFmtId="164" fontId="23" fillId="0" borderId="140" xfId="0" applyNumberFormat="1" applyFont="1" applyBorder="1" applyAlignment="1">
      <alignment horizontal="center" vertical="center" wrapText="1"/>
    </xf>
    <xf numFmtId="0" fontId="23" fillId="0" borderId="62" xfId="0" applyFont="1" applyBorder="1" applyAlignment="1">
      <alignment horizontal="center" vertical="center"/>
    </xf>
    <xf numFmtId="9" fontId="66" fillId="0" borderId="12" xfId="0" applyNumberFormat="1" applyFont="1" applyBorder="1" applyAlignment="1">
      <alignment horizontal="center" vertical="center" wrapText="1"/>
    </xf>
    <xf numFmtId="0" fontId="59" fillId="0" borderId="119" xfId="0" applyFont="1" applyBorder="1" applyAlignment="1">
      <alignment horizontal="center" vertical="center" wrapText="1"/>
    </xf>
    <xf numFmtId="0" fontId="59" fillId="0" borderId="18" xfId="0" applyFont="1" applyBorder="1" applyAlignment="1">
      <alignment horizontal="center" vertical="center" wrapText="1"/>
    </xf>
    <xf numFmtId="0" fontId="59" fillId="0" borderId="76" xfId="0" applyFont="1" applyBorder="1" applyAlignment="1">
      <alignment horizontal="center" vertical="center" wrapText="1"/>
    </xf>
    <xf numFmtId="0" fontId="85" fillId="0" borderId="147" xfId="0" applyFont="1" applyBorder="1" applyAlignment="1">
      <alignment horizontal="center" vertical="center" wrapText="1" readingOrder="1"/>
    </xf>
    <xf numFmtId="0" fontId="85" fillId="0" borderId="176" xfId="0" applyFont="1" applyBorder="1" applyAlignment="1">
      <alignment horizontal="center" vertical="center" wrapText="1" readingOrder="1"/>
    </xf>
    <xf numFmtId="0" fontId="85" fillId="0" borderId="18" xfId="0" applyFont="1" applyBorder="1" applyAlignment="1">
      <alignment horizontal="center" vertical="center" wrapText="1" readingOrder="1"/>
    </xf>
    <xf numFmtId="0" fontId="85" fillId="0" borderId="138" xfId="0" applyFont="1" applyBorder="1" applyAlignment="1">
      <alignment horizontal="center" vertical="center" wrapText="1" readingOrder="1"/>
    </xf>
    <xf numFmtId="0" fontId="85" fillId="0" borderId="157" xfId="0" applyFont="1" applyBorder="1" applyAlignment="1">
      <alignment horizontal="center" vertical="center" wrapText="1" readingOrder="1"/>
    </xf>
    <xf numFmtId="0" fontId="85" fillId="0" borderId="179" xfId="0" applyFont="1" applyBorder="1" applyAlignment="1">
      <alignment horizontal="center" vertical="center" wrapText="1" readingOrder="1"/>
    </xf>
    <xf numFmtId="0" fontId="59" fillId="0" borderId="81" xfId="0" applyFont="1" applyBorder="1" applyAlignment="1">
      <alignment horizontal="left" vertical="center" wrapText="1"/>
    </xf>
    <xf numFmtId="0" fontId="59" fillId="0" borderId="81" xfId="0" applyFont="1" applyBorder="1" applyAlignment="1">
      <alignment horizontal="center" vertical="center" wrapText="1"/>
    </xf>
    <xf numFmtId="0" fontId="59" fillId="0" borderId="18" xfId="0" applyFont="1" applyBorder="1" applyAlignment="1">
      <alignment horizontal="left" vertical="center" wrapText="1"/>
    </xf>
    <xf numFmtId="0" fontId="85" fillId="0" borderId="18" xfId="0" applyFont="1" applyBorder="1" applyAlignment="1">
      <alignment horizontal="left" vertical="center" wrapText="1"/>
    </xf>
    <xf numFmtId="0" fontId="85" fillId="0" borderId="18" xfId="0" applyFont="1" applyBorder="1" applyAlignment="1">
      <alignment horizontal="center" vertical="center" wrapText="1"/>
    </xf>
    <xf numFmtId="0" fontId="85" fillId="0" borderId="12" xfId="0" applyFont="1" applyBorder="1" applyAlignment="1">
      <alignment vertical="center" wrapText="1"/>
    </xf>
    <xf numFmtId="0" fontId="85" fillId="0" borderId="12" xfId="0" applyFont="1" applyBorder="1" applyAlignment="1">
      <alignment horizontal="left" vertical="center" wrapText="1"/>
    </xf>
    <xf numFmtId="0" fontId="85" fillId="0" borderId="95" xfId="0" applyFont="1" applyBorder="1" applyAlignment="1">
      <alignment horizontal="left" vertical="center" wrapText="1"/>
    </xf>
    <xf numFmtId="164" fontId="64" fillId="3" borderId="122" xfId="0" applyNumberFormat="1" applyFont="1" applyFill="1" applyBorder="1" applyAlignment="1">
      <alignment horizontal="center" vertical="center" wrapText="1"/>
    </xf>
    <xf numFmtId="164" fontId="65" fillId="3" borderId="56" xfId="0" applyNumberFormat="1" applyFont="1" applyFill="1" applyBorder="1" applyAlignment="1">
      <alignment horizontal="center" vertical="center" wrapText="1"/>
    </xf>
    <xf numFmtId="164" fontId="74" fillId="9" borderId="18" xfId="0" applyNumberFormat="1" applyFont="1" applyFill="1" applyBorder="1" applyAlignment="1">
      <alignment horizontal="center" vertical="center" wrapText="1"/>
    </xf>
    <xf numFmtId="0" fontId="23" fillId="9" borderId="18" xfId="0" applyFont="1" applyFill="1" applyBorder="1" applyAlignment="1">
      <alignment horizontal="center" vertical="center" wrapText="1"/>
    </xf>
    <xf numFmtId="0" fontId="23" fillId="0" borderId="0" xfId="0" applyFont="1"/>
    <xf numFmtId="0" fontId="23" fillId="3" borderId="1" xfId="0" applyFont="1" applyFill="1" applyBorder="1" applyAlignment="1">
      <alignment horizontal="left" vertical="top"/>
    </xf>
    <xf numFmtId="0" fontId="13" fillId="2" borderId="112" xfId="0" applyFont="1" applyFill="1" applyBorder="1" applyAlignment="1">
      <alignment vertical="top"/>
    </xf>
    <xf numFmtId="0" fontId="21" fillId="0" borderId="112" xfId="0" applyFont="1" applyBorder="1" applyAlignment="1">
      <alignment horizontal="right" vertical="center"/>
    </xf>
    <xf numFmtId="0" fontId="3" fillId="0" borderId="112" xfId="0" applyFont="1" applyBorder="1"/>
    <xf numFmtId="164" fontId="22" fillId="0" borderId="112" xfId="0" applyNumberFormat="1" applyFont="1" applyBorder="1" applyAlignment="1">
      <alignment horizontal="center" vertical="center"/>
    </xf>
    <xf numFmtId="10" fontId="9" fillId="2" borderId="112" xfId="0" applyNumberFormat="1" applyFont="1" applyFill="1" applyBorder="1" applyAlignment="1">
      <alignment vertical="top"/>
    </xf>
    <xf numFmtId="164" fontId="23" fillId="9" borderId="12" xfId="0" applyNumberFormat="1" applyFont="1" applyFill="1" applyBorder="1" applyAlignment="1">
      <alignment horizontal="center" vertical="center" wrapText="1"/>
    </xf>
    <xf numFmtId="0" fontId="86" fillId="10" borderId="18" xfId="0" applyFont="1" applyFill="1" applyBorder="1" applyAlignment="1">
      <alignment horizontal="left" vertical="center" wrapText="1"/>
    </xf>
    <xf numFmtId="0" fontId="87" fillId="2" borderId="18" xfId="0" applyFont="1" applyFill="1" applyBorder="1" applyAlignment="1">
      <alignment horizontal="left" vertical="center" wrapText="1"/>
    </xf>
    <xf numFmtId="17" fontId="87" fillId="2" borderId="18" xfId="0" applyNumberFormat="1" applyFont="1" applyFill="1" applyBorder="1" applyAlignment="1">
      <alignment horizontal="center" vertical="center" wrapText="1"/>
    </xf>
    <xf numFmtId="0" fontId="12" fillId="2" borderId="18" xfId="0" applyFont="1" applyFill="1" applyBorder="1" applyAlignment="1">
      <alignment horizontal="left" vertical="center" wrapText="1"/>
    </xf>
    <xf numFmtId="0" fontId="12" fillId="10" borderId="18" xfId="0" applyFont="1" applyFill="1" applyBorder="1" applyAlignment="1">
      <alignment horizontal="left" vertical="center" wrapText="1"/>
    </xf>
    <xf numFmtId="0" fontId="88" fillId="11" borderId="183" xfId="0" applyFont="1" applyFill="1" applyBorder="1" applyAlignment="1">
      <alignment horizontal="left" vertical="center" wrapText="1"/>
    </xf>
    <xf numFmtId="0" fontId="88" fillId="0" borderId="183" xfId="0" applyFont="1" applyBorder="1" applyAlignment="1">
      <alignment horizontal="left" vertical="center" wrapText="1"/>
    </xf>
    <xf numFmtId="0" fontId="74" fillId="0" borderId="67" xfId="0" applyFont="1" applyBorder="1" applyAlignment="1">
      <alignment horizontal="center" vertical="center" wrapText="1"/>
    </xf>
    <xf numFmtId="0" fontId="75" fillId="0" borderId="75" xfId="0" applyFont="1" applyBorder="1"/>
    <xf numFmtId="0" fontId="75" fillId="0" borderId="62" xfId="0" applyFont="1" applyBorder="1"/>
    <xf numFmtId="0" fontId="74" fillId="3" borderId="85" xfId="0" applyFont="1" applyFill="1" applyBorder="1" applyAlignment="1">
      <alignment horizontal="center" vertical="center" wrapText="1"/>
    </xf>
    <xf numFmtId="0" fontId="75" fillId="0" borderId="73" xfId="0" applyFont="1" applyBorder="1"/>
    <xf numFmtId="0" fontId="75" fillId="0" borderId="61" xfId="0" applyFont="1" applyBorder="1"/>
    <xf numFmtId="164" fontId="74" fillId="3" borderId="89" xfId="0" applyNumberFormat="1" applyFont="1" applyFill="1" applyBorder="1" applyAlignment="1">
      <alignment horizontal="center" vertical="center" wrapText="1"/>
    </xf>
    <xf numFmtId="0" fontId="75" fillId="0" borderId="92" xfId="0" applyFont="1" applyBorder="1"/>
    <xf numFmtId="0" fontId="75" fillId="0" borderId="96" xfId="0" applyFont="1" applyBorder="1"/>
    <xf numFmtId="164" fontId="76" fillId="3" borderId="90" xfId="0" applyNumberFormat="1" applyFont="1" applyFill="1" applyBorder="1" applyAlignment="1">
      <alignment horizontal="center" vertical="center" wrapText="1"/>
    </xf>
    <xf numFmtId="0" fontId="75" fillId="0" borderId="79" xfId="0" applyFont="1" applyBorder="1"/>
    <xf numFmtId="0" fontId="75" fillId="0" borderId="63" xfId="0" applyFont="1" applyBorder="1"/>
    <xf numFmtId="0" fontId="74" fillId="0" borderId="81" xfId="0" applyFont="1" applyBorder="1" applyAlignment="1">
      <alignment horizontal="left" vertical="center" wrapText="1"/>
    </xf>
    <xf numFmtId="0" fontId="77" fillId="0" borderId="75" xfId="0" applyFont="1" applyBorder="1"/>
    <xf numFmtId="0" fontId="77" fillId="0" borderId="62" xfId="0" applyFont="1" applyBorder="1"/>
    <xf numFmtId="0" fontId="74" fillId="0" borderId="139" xfId="0" applyFont="1" applyBorder="1" applyAlignment="1">
      <alignment horizontal="left" vertical="center" wrapText="1"/>
    </xf>
    <xf numFmtId="0" fontId="77" fillId="0" borderId="91" xfId="0" applyFont="1" applyBorder="1"/>
    <xf numFmtId="0" fontId="77" fillId="0" borderId="100" xfId="0" applyFont="1" applyBorder="1"/>
    <xf numFmtId="164" fontId="74" fillId="0" borderId="81" xfId="0" applyNumberFormat="1" applyFont="1" applyBorder="1" applyAlignment="1">
      <alignment horizontal="center" vertical="center" wrapText="1"/>
    </xf>
    <xf numFmtId="0" fontId="75" fillId="0" borderId="98" xfId="0" applyFont="1" applyBorder="1"/>
    <xf numFmtId="164" fontId="76" fillId="0" borderId="84" xfId="0" applyNumberFormat="1" applyFont="1" applyBorder="1" applyAlignment="1">
      <alignment horizontal="center" vertical="center" wrapText="1"/>
    </xf>
    <xf numFmtId="0" fontId="75" fillId="0" borderId="101" xfId="0" applyFont="1" applyBorder="1"/>
    <xf numFmtId="0" fontId="73" fillId="0" borderId="90" xfId="0" applyFont="1" applyBorder="1" applyAlignment="1">
      <alignment horizontal="center" vertical="center" wrapText="1"/>
    </xf>
    <xf numFmtId="164" fontId="74" fillId="0" borderId="67" xfId="0" applyNumberFormat="1" applyFont="1" applyBorder="1" applyAlignment="1">
      <alignment horizontal="center" vertical="center" wrapText="1"/>
    </xf>
    <xf numFmtId="164" fontId="76" fillId="0" borderId="90" xfId="0" applyNumberFormat="1" applyFont="1" applyBorder="1" applyAlignment="1">
      <alignment horizontal="center" vertical="center" wrapText="1"/>
    </xf>
    <xf numFmtId="0" fontId="73" fillId="0" borderId="53" xfId="0" applyFont="1" applyBorder="1" applyAlignment="1">
      <alignment horizontal="center" vertical="center" wrapText="1"/>
    </xf>
    <xf numFmtId="0" fontId="74" fillId="0" borderId="81" xfId="0" applyFont="1" applyBorder="1" applyAlignment="1">
      <alignment horizontal="center" vertical="center" wrapText="1"/>
    </xf>
    <xf numFmtId="2" fontId="74" fillId="3" borderId="52" xfId="0" applyNumberFormat="1" applyFont="1" applyFill="1" applyBorder="1" applyAlignment="1">
      <alignment horizontal="center" vertical="center" wrapText="1"/>
    </xf>
    <xf numFmtId="2" fontId="76" fillId="3" borderId="53" xfId="0" applyNumberFormat="1" applyFont="1" applyFill="1" applyBorder="1" applyAlignment="1">
      <alignment horizontal="center" vertical="center" wrapText="1"/>
    </xf>
    <xf numFmtId="0" fontId="75" fillId="0" borderId="84" xfId="0" applyFont="1" applyBorder="1"/>
    <xf numFmtId="2" fontId="48" fillId="4" borderId="68" xfId="0" applyNumberFormat="1" applyFont="1" applyFill="1" applyBorder="1" applyAlignment="1">
      <alignment horizontal="center" vertical="center" wrapText="1"/>
    </xf>
    <xf numFmtId="0" fontId="45" fillId="0" borderId="75" xfId="0" applyFont="1" applyBorder="1"/>
    <xf numFmtId="0" fontId="45" fillId="0" borderId="81" xfId="0" applyFont="1" applyBorder="1"/>
    <xf numFmtId="0" fontId="55" fillId="4" borderId="72" xfId="0" applyFont="1" applyFill="1" applyBorder="1" applyAlignment="1">
      <alignment horizontal="center" vertical="center"/>
    </xf>
    <xf numFmtId="0" fontId="45" fillId="0" borderId="79" xfId="0" applyFont="1" applyBorder="1"/>
    <xf numFmtId="0" fontId="45" fillId="0" borderId="84" xfId="0" applyFont="1" applyBorder="1"/>
    <xf numFmtId="2" fontId="74" fillId="3" borderId="145" xfId="0" applyNumberFormat="1" applyFont="1" applyFill="1" applyBorder="1" applyAlignment="1">
      <alignment horizontal="center" vertical="center" wrapText="1"/>
    </xf>
    <xf numFmtId="0" fontId="75" fillId="0" borderId="133" xfId="0" applyFont="1" applyBorder="1"/>
    <xf numFmtId="0" fontId="75" fillId="0" borderId="155" xfId="0" applyFont="1" applyBorder="1"/>
    <xf numFmtId="164" fontId="76" fillId="3" borderId="148" xfId="0" applyNumberFormat="1" applyFont="1" applyFill="1" applyBorder="1" applyAlignment="1">
      <alignment horizontal="center" vertical="center" wrapText="1"/>
    </xf>
    <xf numFmtId="0" fontId="75" fillId="0" borderId="150" xfId="0" applyFont="1" applyBorder="1"/>
    <xf numFmtId="0" fontId="75" fillId="0" borderId="158" xfId="0" applyFont="1" applyBorder="1"/>
    <xf numFmtId="164" fontId="76" fillId="3" borderId="84" xfId="0" applyNumberFormat="1" applyFont="1" applyFill="1" applyBorder="1" applyAlignment="1">
      <alignment horizontal="center" vertical="center" wrapText="1"/>
    </xf>
    <xf numFmtId="2" fontId="74" fillId="3" borderId="133" xfId="0" applyNumberFormat="1" applyFont="1" applyFill="1" applyBorder="1" applyAlignment="1">
      <alignment horizontal="center" vertical="center" wrapText="1"/>
    </xf>
    <xf numFmtId="2" fontId="74" fillId="3" borderId="68" xfId="0" applyNumberFormat="1" applyFont="1" applyFill="1" applyBorder="1" applyAlignment="1">
      <alignment horizontal="center" vertical="center" wrapText="1"/>
    </xf>
    <xf numFmtId="2" fontId="76" fillId="3" borderId="72" xfId="0" applyNumberFormat="1" applyFont="1" applyFill="1" applyBorder="1" applyAlignment="1">
      <alignment horizontal="center" vertical="center" wrapText="1"/>
    </xf>
    <xf numFmtId="0" fontId="74" fillId="0" borderId="146" xfId="0" applyFont="1" applyBorder="1" applyAlignment="1">
      <alignment horizontal="center" vertical="center" wrapText="1"/>
    </xf>
    <xf numFmtId="0" fontId="75" fillId="0" borderId="81" xfId="0" applyFont="1" applyBorder="1"/>
    <xf numFmtId="0" fontId="75" fillId="0" borderId="156" xfId="0" applyFont="1" applyBorder="1"/>
    <xf numFmtId="164" fontId="74" fillId="0" borderId="146" xfId="0" applyNumberFormat="1" applyFont="1" applyBorder="1" applyAlignment="1">
      <alignment horizontal="center" vertical="center" wrapText="1"/>
    </xf>
    <xf numFmtId="164" fontId="76" fillId="0" borderId="148" xfId="0" applyNumberFormat="1" applyFont="1" applyBorder="1" applyAlignment="1">
      <alignment horizontal="center" vertical="center" wrapText="1"/>
    </xf>
    <xf numFmtId="0" fontId="31" fillId="3" borderId="29" xfId="0" applyFont="1" applyFill="1" applyBorder="1" applyAlignment="1">
      <alignment horizontal="center" vertical="center" wrapText="1"/>
    </xf>
    <xf numFmtId="0" fontId="32" fillId="0" borderId="30" xfId="0" applyFont="1" applyBorder="1"/>
    <xf numFmtId="0" fontId="32" fillId="0" borderId="31" xfId="0" applyFont="1" applyBorder="1"/>
    <xf numFmtId="0" fontId="64" fillId="4" borderId="35" xfId="0" applyFont="1" applyFill="1" applyBorder="1" applyAlignment="1">
      <alignment horizontal="center" vertical="center" wrapText="1"/>
    </xf>
    <xf numFmtId="0" fontId="61" fillId="0" borderId="6" xfId="0" applyFont="1" applyBorder="1"/>
    <xf numFmtId="0" fontId="61" fillId="0" borderId="36" xfId="0" applyFont="1" applyBorder="1"/>
    <xf numFmtId="0" fontId="78" fillId="4" borderId="41" xfId="0" applyFont="1" applyFill="1" applyBorder="1" applyAlignment="1">
      <alignment horizontal="center" vertical="center"/>
    </xf>
    <xf numFmtId="0" fontId="61" fillId="0" borderId="30" xfId="0" applyFont="1" applyBorder="1"/>
    <xf numFmtId="0" fontId="61" fillId="0" borderId="42" xfId="0" applyFont="1" applyBorder="1"/>
    <xf numFmtId="0" fontId="21" fillId="4" borderId="43" xfId="0" applyFont="1" applyFill="1" applyBorder="1" applyAlignment="1">
      <alignment horizontal="center" vertical="center" wrapText="1"/>
    </xf>
    <xf numFmtId="0" fontId="58" fillId="0" borderId="54" xfId="0" applyFont="1" applyBorder="1"/>
    <xf numFmtId="0" fontId="58" fillId="0" borderId="64" xfId="0" applyFont="1" applyBorder="1"/>
    <xf numFmtId="0" fontId="48" fillId="4" borderId="109" xfId="0" applyFont="1" applyFill="1" applyBorder="1" applyAlignment="1">
      <alignment horizontal="center" vertical="center" wrapText="1"/>
    </xf>
    <xf numFmtId="0" fontId="45" fillId="0" borderId="112" xfId="0" applyFont="1" applyBorder="1"/>
    <xf numFmtId="0" fontId="45" fillId="0" borderId="93" xfId="0" applyFont="1" applyBorder="1"/>
    <xf numFmtId="0" fontId="48" fillId="4" borderId="162" xfId="0" applyFont="1" applyFill="1" applyBorder="1" applyAlignment="1">
      <alignment horizontal="center" vertical="center" wrapText="1"/>
    </xf>
    <xf numFmtId="0" fontId="45" fillId="0" borderId="163" xfId="0" applyFont="1" applyBorder="1"/>
    <xf numFmtId="0" fontId="45" fillId="0" borderId="164" xfId="0" applyFont="1" applyBorder="1"/>
    <xf numFmtId="0" fontId="50" fillId="4" borderId="65" xfId="0" applyFont="1" applyFill="1" applyBorder="1" applyAlignment="1">
      <alignment horizontal="left" vertical="top" wrapText="1"/>
    </xf>
    <xf numFmtId="0" fontId="45" fillId="0" borderId="73" xfId="0" applyFont="1" applyBorder="1"/>
    <xf numFmtId="0" fontId="45" fillId="0" borderId="80" xfId="0" applyFont="1" applyBorder="1"/>
    <xf numFmtId="0" fontId="64" fillId="4" borderId="37" xfId="0" applyFont="1" applyFill="1" applyBorder="1" applyAlignment="1">
      <alignment horizontal="center" vertical="center" wrapText="1"/>
    </xf>
    <xf numFmtId="0" fontId="61" fillId="0" borderId="38" xfId="0" applyFont="1" applyBorder="1"/>
    <xf numFmtId="0" fontId="61" fillId="0" borderId="46" xfId="0" applyFont="1" applyBorder="1"/>
    <xf numFmtId="0" fontId="61" fillId="0" borderId="47" xfId="0" applyFont="1" applyBorder="1"/>
    <xf numFmtId="0" fontId="61" fillId="0" borderId="57" xfId="0" applyFont="1" applyBorder="1"/>
    <xf numFmtId="0" fontId="61" fillId="0" borderId="58" xfId="0" applyFont="1" applyBorder="1"/>
    <xf numFmtId="0" fontId="48" fillId="4" borderId="39" xfId="0" applyFont="1" applyFill="1" applyBorder="1" applyAlignment="1">
      <alignment horizontal="center" vertical="center" wrapText="1"/>
    </xf>
    <xf numFmtId="0" fontId="45" fillId="0" borderId="48" xfId="0" applyFont="1" applyBorder="1"/>
    <xf numFmtId="0" fontId="45" fillId="0" borderId="55" xfId="0" applyFont="1" applyBorder="1"/>
    <xf numFmtId="0" fontId="21" fillId="4" borderId="40" xfId="0" applyFont="1" applyFill="1" applyBorder="1" applyAlignment="1">
      <alignment horizontal="center" vertical="center" wrapText="1"/>
    </xf>
    <xf numFmtId="0" fontId="58" fillId="0" borderId="55" xfId="0" applyFont="1" applyBorder="1"/>
    <xf numFmtId="0" fontId="64" fillId="4" borderId="53" xfId="0" applyFont="1" applyFill="1" applyBorder="1" applyAlignment="1">
      <alignment horizontal="center" vertical="center" wrapText="1"/>
    </xf>
    <xf numFmtId="0" fontId="61" fillId="0" borderId="63" xfId="0" applyFont="1" applyBorder="1"/>
    <xf numFmtId="0" fontId="48" fillId="4" borderId="45" xfId="0" applyFont="1" applyFill="1" applyBorder="1" applyAlignment="1">
      <alignment horizontal="center" vertical="center" wrapText="1"/>
    </xf>
    <xf numFmtId="0" fontId="45" fillId="0" borderId="33" xfId="0" applyFont="1" applyBorder="1"/>
    <xf numFmtId="0" fontId="45" fillId="0" borderId="34" xfId="0" applyFont="1" applyBorder="1"/>
    <xf numFmtId="0" fontId="50" fillId="0" borderId="67" xfId="0" applyFont="1" applyBorder="1" applyAlignment="1">
      <alignment horizontal="center" vertical="top" wrapText="1"/>
    </xf>
    <xf numFmtId="0" fontId="50" fillId="4" borderId="68" xfId="0" applyFont="1" applyFill="1" applyBorder="1" applyAlignment="1">
      <alignment horizontal="center" vertical="top" wrapText="1"/>
    </xf>
    <xf numFmtId="0" fontId="50" fillId="4" borderId="68" xfId="0" applyFont="1" applyFill="1" applyBorder="1" applyAlignment="1">
      <alignment horizontal="left" vertical="top" wrapText="1"/>
    </xf>
    <xf numFmtId="0" fontId="51" fillId="4" borderId="68" xfId="0" applyFont="1" applyFill="1" applyBorder="1" applyAlignment="1">
      <alignment horizontal="center" vertical="top" wrapText="1"/>
    </xf>
    <xf numFmtId="9" fontId="51" fillId="4" borderId="68" xfId="0" applyNumberFormat="1" applyFont="1" applyFill="1" applyBorder="1" applyAlignment="1">
      <alignment horizontal="center" vertical="top" wrapText="1"/>
    </xf>
    <xf numFmtId="0" fontId="48" fillId="4" borderId="108" xfId="0" applyFont="1" applyFill="1" applyBorder="1" applyAlignment="1">
      <alignment horizontal="center" vertical="center" wrapText="1"/>
    </xf>
    <xf numFmtId="0" fontId="45" fillId="0" borderId="114" xfId="0" applyFont="1" applyBorder="1"/>
    <xf numFmtId="0" fontId="45" fillId="0" borderId="64" xfId="0" applyFont="1" applyBorder="1"/>
    <xf numFmtId="0" fontId="48" fillId="4" borderId="44" xfId="0" applyFont="1" applyFill="1" applyBorder="1" applyAlignment="1">
      <alignment horizontal="center" vertical="center" wrapText="1"/>
    </xf>
    <xf numFmtId="0" fontId="45" fillId="0" borderId="54" xfId="0" applyFont="1" applyBorder="1"/>
    <xf numFmtId="0" fontId="48" fillId="4" borderId="35" xfId="0" applyFont="1" applyFill="1" applyBorder="1" applyAlignment="1">
      <alignment horizontal="center" vertical="center" wrapText="1"/>
    </xf>
    <xf numFmtId="0" fontId="45" fillId="0" borderId="7" xfId="0" applyFont="1" applyBorder="1"/>
    <xf numFmtId="0" fontId="58" fillId="0" borderId="48" xfId="0" applyFont="1" applyBorder="1"/>
    <xf numFmtId="0" fontId="48" fillId="4" borderId="49" xfId="0" applyFont="1" applyFill="1" applyBorder="1" applyAlignment="1">
      <alignment horizontal="center" vertical="center" wrapText="1"/>
    </xf>
    <xf numFmtId="0" fontId="45" fillId="0" borderId="59" xfId="0" applyFont="1" applyBorder="1"/>
    <xf numFmtId="0" fontId="48" fillId="4" borderId="50" xfId="0" applyFont="1" applyFill="1" applyBorder="1" applyAlignment="1">
      <alignment horizontal="center" vertical="center" wrapText="1"/>
    </xf>
    <xf numFmtId="0" fontId="45" fillId="0" borderId="60" xfId="0" applyFont="1" applyBorder="1"/>
    <xf numFmtId="0" fontId="64" fillId="4" borderId="51" xfId="0" applyFont="1" applyFill="1" applyBorder="1" applyAlignment="1">
      <alignment horizontal="center" vertical="center" wrapText="1"/>
    </xf>
    <xf numFmtId="0" fontId="61" fillId="0" borderId="61" xfId="0" applyFont="1" applyBorder="1"/>
    <xf numFmtId="0" fontId="64" fillId="4" borderId="52" xfId="0" applyFont="1" applyFill="1" applyBorder="1" applyAlignment="1">
      <alignment horizontal="center" vertical="center" wrapText="1"/>
    </xf>
    <xf numFmtId="0" fontId="61" fillId="0" borderId="62" xfId="0" applyFont="1" applyBorder="1"/>
    <xf numFmtId="0" fontId="23" fillId="0" borderId="146" xfId="0" applyFont="1" applyBorder="1" applyAlignment="1">
      <alignment horizontal="center" vertical="center" wrapText="1"/>
    </xf>
    <xf numFmtId="0" fontId="61" fillId="0" borderId="81" xfId="0" applyFont="1" applyBorder="1"/>
    <xf numFmtId="0" fontId="61" fillId="0" borderId="156" xfId="0" applyFont="1" applyBorder="1"/>
    <xf numFmtId="0" fontId="66" fillId="0" borderId="146" xfId="0" applyFont="1" applyBorder="1" applyAlignment="1">
      <alignment horizontal="center" vertical="center" wrapText="1"/>
    </xf>
    <xf numFmtId="0" fontId="23" fillId="3" borderId="144" xfId="0" applyFont="1" applyFill="1" applyBorder="1" applyAlignment="1">
      <alignment horizontal="center" vertical="center" wrapText="1"/>
    </xf>
    <xf numFmtId="0" fontId="61" fillId="0" borderId="139" xfId="0" applyFont="1" applyBorder="1"/>
    <xf numFmtId="0" fontId="61" fillId="0" borderId="154" xfId="0" applyFont="1" applyBorder="1"/>
    <xf numFmtId="0" fontId="31" fillId="3" borderId="2" xfId="0" applyFont="1" applyFill="1" applyBorder="1" applyAlignment="1">
      <alignment horizontal="center" vertical="center"/>
    </xf>
    <xf numFmtId="0" fontId="32" fillId="0" borderId="3" xfId="0" applyFont="1" applyBorder="1"/>
    <xf numFmtId="0" fontId="32" fillId="0" borderId="4" xfId="0" applyFont="1" applyBorder="1"/>
    <xf numFmtId="0" fontId="82" fillId="3" borderId="2" xfId="0" applyFont="1" applyFill="1" applyBorder="1" applyAlignment="1">
      <alignment horizontal="center" vertical="center" wrapText="1"/>
    </xf>
    <xf numFmtId="0" fontId="61" fillId="0" borderId="3" xfId="0" applyFont="1" applyBorder="1"/>
    <xf numFmtId="0" fontId="61" fillId="0" borderId="4" xfId="0" applyFont="1" applyBorder="1"/>
    <xf numFmtId="0" fontId="36" fillId="3" borderId="5" xfId="0" applyFont="1" applyFill="1" applyBorder="1" applyAlignment="1">
      <alignment horizontal="center" vertical="center" wrapText="1"/>
    </xf>
    <xf numFmtId="0" fontId="32" fillId="0" borderId="6" xfId="0" applyFont="1" applyBorder="1"/>
    <xf numFmtId="0" fontId="32" fillId="0" borderId="7" xfId="0" applyFont="1" applyBorder="1"/>
    <xf numFmtId="0" fontId="66" fillId="0" borderId="8" xfId="0" applyFont="1" applyBorder="1" applyAlignment="1">
      <alignment vertical="top"/>
    </xf>
    <xf numFmtId="0" fontId="61" fillId="0" borderId="9" xfId="0" applyFont="1" applyBorder="1"/>
    <xf numFmtId="0" fontId="61" fillId="0" borderId="10" xfId="0" applyFont="1" applyBorder="1"/>
    <xf numFmtId="0" fontId="64" fillId="3" borderId="11" xfId="0" applyFont="1" applyFill="1" applyBorder="1" applyAlignment="1">
      <alignment horizontal="left" vertical="top" wrapText="1"/>
    </xf>
    <xf numFmtId="0" fontId="80" fillId="0" borderId="9" xfId="0" applyFont="1" applyBorder="1"/>
    <xf numFmtId="0" fontId="80" fillId="0" borderId="10" xfId="0" applyFont="1" applyBorder="1"/>
    <xf numFmtId="0" fontId="66" fillId="0" borderId="14" xfId="0" applyFont="1" applyBorder="1" applyAlignment="1">
      <alignment vertical="top"/>
    </xf>
    <xf numFmtId="0" fontId="61" fillId="0" borderId="15" xfId="0" applyFont="1" applyBorder="1"/>
    <xf numFmtId="0" fontId="61" fillId="0" borderId="16" xfId="0" applyFont="1" applyBorder="1"/>
    <xf numFmtId="0" fontId="23" fillId="3" borderId="17" xfId="0" applyFont="1" applyFill="1" applyBorder="1" applyAlignment="1">
      <alignment horizontal="left" vertical="top" wrapText="1"/>
    </xf>
    <xf numFmtId="0" fontId="80" fillId="0" borderId="13" xfId="0" applyFont="1" applyBorder="1"/>
    <xf numFmtId="0" fontId="61" fillId="0" borderId="19" xfId="0" applyFont="1" applyBorder="1"/>
    <xf numFmtId="0" fontId="64" fillId="3" borderId="17" xfId="0" applyFont="1" applyFill="1" applyBorder="1" applyAlignment="1">
      <alignment horizontal="left" vertical="top" wrapText="1"/>
    </xf>
    <xf numFmtId="0" fontId="80" fillId="0" borderId="15" xfId="0" applyFont="1" applyBorder="1"/>
    <xf numFmtId="0" fontId="80" fillId="0" borderId="19" xfId="0" applyFont="1" applyBorder="1"/>
    <xf numFmtId="0" fontId="64" fillId="0" borderId="162" xfId="0" applyFont="1" applyBorder="1" applyAlignment="1">
      <alignment horizontal="center" vertical="center" wrapText="1"/>
    </xf>
    <xf numFmtId="0" fontId="64" fillId="0" borderId="163" xfId="0" applyFont="1" applyBorder="1" applyAlignment="1">
      <alignment horizontal="center" vertical="center" wrapText="1"/>
    </xf>
    <xf numFmtId="0" fontId="64" fillId="0" borderId="164" xfId="0" applyFont="1" applyBorder="1" applyAlignment="1">
      <alignment horizontal="center" vertical="center" wrapText="1"/>
    </xf>
    <xf numFmtId="0" fontId="65" fillId="0" borderId="162" xfId="0" applyFont="1" applyBorder="1" applyAlignment="1">
      <alignment horizontal="center" vertical="center" wrapText="1"/>
    </xf>
    <xf numFmtId="0" fontId="61" fillId="0" borderId="163" xfId="0" applyFont="1" applyBorder="1"/>
    <xf numFmtId="0" fontId="61" fillId="0" borderId="164" xfId="0" applyFont="1" applyBorder="1"/>
    <xf numFmtId="0" fontId="23" fillId="0" borderId="162" xfId="0" applyFont="1" applyBorder="1" applyAlignment="1">
      <alignment horizontal="center" vertical="center" wrapText="1"/>
    </xf>
    <xf numFmtId="0" fontId="23" fillId="0" borderId="169" xfId="0" applyFont="1" applyBorder="1" applyAlignment="1">
      <alignment horizontal="center" vertical="center" wrapText="1"/>
    </xf>
    <xf numFmtId="0" fontId="61" fillId="0" borderId="114" xfId="0" applyFont="1" applyBorder="1"/>
    <xf numFmtId="0" fontId="61" fillId="0" borderId="172" xfId="0" applyFont="1" applyBorder="1"/>
    <xf numFmtId="0" fontId="82" fillId="0" borderId="0" xfId="0" applyFont="1" applyAlignment="1">
      <alignment horizontal="left" vertical="center" wrapText="1"/>
    </xf>
    <xf numFmtId="0" fontId="62" fillId="0" borderId="0" xfId="0" applyFont="1"/>
    <xf numFmtId="0" fontId="81" fillId="0" borderId="32" xfId="0" applyFont="1" applyBorder="1" applyAlignment="1">
      <alignment horizontal="center" vertical="center"/>
    </xf>
    <xf numFmtId="0" fontId="58" fillId="0" borderId="33" xfId="0" applyFont="1" applyBorder="1"/>
    <xf numFmtId="0" fontId="58" fillId="0" borderId="34" xfId="0" applyFont="1" applyBorder="1"/>
    <xf numFmtId="0" fontId="37" fillId="0" borderId="33" xfId="0" applyFont="1" applyBorder="1" applyAlignment="1">
      <alignment horizontal="center" vertical="center"/>
    </xf>
    <xf numFmtId="0" fontId="32" fillId="0" borderId="109" xfId="0" applyFont="1" applyBorder="1"/>
    <xf numFmtId="0" fontId="32" fillId="0" borderId="33" xfId="0" applyFont="1" applyBorder="1"/>
    <xf numFmtId="0" fontId="32" fillId="0" borderId="34" xfId="0" applyFont="1" applyBorder="1"/>
    <xf numFmtId="0" fontId="23" fillId="3" borderId="20" xfId="0" applyFont="1" applyFill="1" applyBorder="1" applyAlignment="1">
      <alignment horizontal="left" vertical="top" wrapText="1"/>
    </xf>
    <xf numFmtId="0" fontId="61" fillId="0" borderId="21" xfId="0" applyFont="1" applyBorder="1"/>
    <xf numFmtId="0" fontId="61" fillId="0" borderId="22" xfId="0" applyFont="1" applyBorder="1"/>
    <xf numFmtId="0" fontId="66" fillId="0" borderId="24" xfId="0" applyFont="1" applyBorder="1" applyAlignment="1">
      <alignment vertical="top" wrapText="1"/>
    </xf>
    <xf numFmtId="0" fontId="61" fillId="0" borderId="25" xfId="0" applyFont="1" applyBorder="1"/>
    <xf numFmtId="0" fontId="61" fillId="0" borderId="26" xfId="0" applyFont="1" applyBorder="1"/>
    <xf numFmtId="0" fontId="23" fillId="0" borderId="27" xfId="0" applyFont="1" applyBorder="1" applyAlignment="1">
      <alignment horizontal="left" vertical="top" wrapText="1"/>
    </xf>
    <xf numFmtId="0" fontId="61" fillId="0" borderId="28" xfId="0" applyFont="1" applyBorder="1"/>
    <xf numFmtId="0" fontId="23" fillId="0" borderId="114" xfId="0" applyFont="1" applyBorder="1" applyAlignment="1">
      <alignment horizontal="center" vertical="center" wrapText="1"/>
    </xf>
    <xf numFmtId="0" fontId="61" fillId="0" borderId="64" xfId="0" applyFont="1" applyBorder="1"/>
    <xf numFmtId="0" fontId="23" fillId="0" borderId="112" xfId="0" applyFont="1" applyBorder="1" applyAlignment="1">
      <alignment horizontal="center" vertical="center" wrapText="1"/>
    </xf>
    <xf numFmtId="0" fontId="61" fillId="0" borderId="133" xfId="0" applyFont="1" applyBorder="1"/>
    <xf numFmtId="0" fontId="61" fillId="0" borderId="74" xfId="0" applyFont="1" applyBorder="1"/>
    <xf numFmtId="0" fontId="61" fillId="0" borderId="93" xfId="0" applyFont="1" applyBorder="1"/>
    <xf numFmtId="0" fontId="61" fillId="0" borderId="94" xfId="0" applyFont="1" applyBorder="1"/>
    <xf numFmtId="0" fontId="23" fillId="0" borderId="81" xfId="0" applyFont="1" applyBorder="1" applyAlignment="1">
      <alignment horizontal="center" vertical="center" wrapText="1"/>
    </xf>
    <xf numFmtId="0" fontId="61" fillId="0" borderId="75" xfId="0" applyFont="1" applyBorder="1"/>
    <xf numFmtId="9" fontId="23" fillId="3" borderId="81" xfId="0" applyNumberFormat="1" applyFont="1" applyFill="1" applyBorder="1" applyAlignment="1">
      <alignment horizontal="center" vertical="center" wrapText="1"/>
    </xf>
    <xf numFmtId="0" fontId="63" fillId="0" borderId="163" xfId="0" applyFont="1" applyBorder="1" applyAlignment="1">
      <alignment horizontal="center" vertical="center" wrapText="1"/>
    </xf>
    <xf numFmtId="0" fontId="63" fillId="0" borderId="108" xfId="0" applyFont="1" applyBorder="1" applyAlignment="1">
      <alignment horizontal="center" vertical="center" wrapText="1"/>
    </xf>
    <xf numFmtId="0" fontId="23" fillId="0" borderId="67" xfId="0" applyFont="1" applyBorder="1" applyAlignment="1">
      <alignment horizontal="center" vertical="center" wrapText="1"/>
    </xf>
    <xf numFmtId="0" fontId="23" fillId="0" borderId="52" xfId="0" applyFont="1" applyBorder="1" applyAlignment="1">
      <alignment horizontal="left" vertical="center" wrapText="1"/>
    </xf>
    <xf numFmtId="9" fontId="23" fillId="3" borderId="52" xfId="0" applyNumberFormat="1" applyFont="1" applyFill="1" applyBorder="1" applyAlignment="1">
      <alignment horizontal="center" vertical="center" wrapText="1"/>
    </xf>
    <xf numFmtId="0" fontId="68" fillId="0" borderId="52" xfId="0" applyFont="1" applyBorder="1" applyAlignment="1">
      <alignment horizontal="center" vertical="center" wrapText="1"/>
    </xf>
    <xf numFmtId="166" fontId="23" fillId="0" borderId="67" xfId="0" applyNumberFormat="1" applyFont="1" applyBorder="1" applyAlignment="1">
      <alignment horizontal="center" vertical="center" wrapText="1"/>
    </xf>
    <xf numFmtId="0" fontId="61" fillId="0" borderId="98" xfId="0" applyFont="1" applyBorder="1"/>
    <xf numFmtId="0" fontId="63" fillId="0" borderId="165" xfId="0" applyFont="1" applyBorder="1" applyAlignment="1">
      <alignment horizontal="center" vertical="center" wrapText="1"/>
    </xf>
    <xf numFmtId="0" fontId="61" fillId="0" borderId="165" xfId="0" applyFont="1" applyBorder="1"/>
    <xf numFmtId="0" fontId="61" fillId="0" borderId="166" xfId="0" applyFont="1" applyBorder="1"/>
    <xf numFmtId="0" fontId="23" fillId="0" borderId="85" xfId="0" applyFont="1" applyBorder="1" applyAlignment="1">
      <alignment horizontal="center" vertical="center" wrapText="1"/>
    </xf>
    <xf numFmtId="0" fontId="61" fillId="0" borderId="73" xfId="0" applyFont="1" applyBorder="1"/>
    <xf numFmtId="0" fontId="23" fillId="0" borderId="75" xfId="0" applyFont="1" applyBorder="1" applyAlignment="1">
      <alignment horizontal="center" vertical="center" wrapText="1"/>
    </xf>
    <xf numFmtId="0" fontId="23" fillId="0" borderId="75" xfId="0" applyFont="1" applyBorder="1" applyAlignment="1">
      <alignment horizontal="left" vertical="center" wrapText="1"/>
    </xf>
    <xf numFmtId="49" fontId="23" fillId="0" borderId="67" xfId="0" applyNumberFormat="1" applyFont="1" applyBorder="1" applyAlignment="1">
      <alignment horizontal="center" vertical="center" wrapText="1"/>
    </xf>
    <xf numFmtId="0" fontId="66" fillId="0" borderId="67" xfId="0" applyFont="1" applyBorder="1" applyAlignment="1">
      <alignment horizontal="center" vertical="center" wrapText="1"/>
    </xf>
    <xf numFmtId="0" fontId="23" fillId="0" borderId="97" xfId="0" applyFont="1" applyBorder="1" applyAlignment="1">
      <alignment vertical="center" wrapText="1"/>
    </xf>
    <xf numFmtId="0" fontId="61" fillId="0" borderId="103" xfId="0" applyFont="1" applyBorder="1"/>
    <xf numFmtId="0" fontId="61" fillId="0" borderId="91" xfId="0" applyFont="1" applyBorder="1"/>
    <xf numFmtId="0" fontId="61" fillId="0" borderId="99" xfId="0" applyFont="1" applyBorder="1"/>
    <xf numFmtId="0" fontId="61" fillId="0" borderId="102" xfId="0" applyFont="1" applyBorder="1"/>
    <xf numFmtId="0" fontId="23" fillId="0" borderId="91" xfId="0" applyFont="1" applyBorder="1" applyAlignment="1">
      <alignment vertical="center" wrapText="1"/>
    </xf>
    <xf numFmtId="0" fontId="23" fillId="0" borderId="86" xfId="0" applyFont="1" applyBorder="1" applyAlignment="1">
      <alignment horizontal="center" vertical="center" wrapText="1"/>
    </xf>
    <xf numFmtId="0" fontId="61" fillId="0" borderId="88" xfId="0" applyFont="1" applyBorder="1"/>
    <xf numFmtId="0" fontId="23" fillId="0" borderId="170" xfId="0" applyFont="1" applyBorder="1" applyAlignment="1">
      <alignment horizontal="center" vertical="center" wrapText="1"/>
    </xf>
    <xf numFmtId="0" fontId="61" fillId="0" borderId="145" xfId="0" applyFont="1" applyBorder="1"/>
    <xf numFmtId="0" fontId="62" fillId="0" borderId="112" xfId="0" applyFont="1" applyBorder="1"/>
    <xf numFmtId="0" fontId="61" fillId="0" borderId="173" xfId="0" applyFont="1" applyBorder="1"/>
    <xf numFmtId="0" fontId="61" fillId="0" borderId="155" xfId="0" applyFont="1" applyBorder="1"/>
    <xf numFmtId="0" fontId="23" fillId="0" borderId="145" xfId="0" applyFont="1" applyBorder="1" applyAlignment="1">
      <alignment horizontal="center" vertical="center" wrapText="1"/>
    </xf>
    <xf numFmtId="9" fontId="23" fillId="3" borderId="146" xfId="0" applyNumberFormat="1" applyFont="1" applyFill="1" applyBorder="1" applyAlignment="1">
      <alignment horizontal="center" vertical="center" wrapText="1"/>
    </xf>
    <xf numFmtId="0" fontId="23" fillId="0" borderId="67" xfId="0" applyFont="1" applyBorder="1" applyAlignment="1">
      <alignment horizontal="left" vertical="center" wrapText="1"/>
    </xf>
    <xf numFmtId="0" fontId="23" fillId="0" borderId="87" xfId="0" applyFont="1" applyBorder="1" applyAlignment="1">
      <alignment horizontal="center" vertical="center" wrapText="1"/>
    </xf>
    <xf numFmtId="9" fontId="23" fillId="3" borderId="67" xfId="0" applyNumberFormat="1" applyFont="1" applyFill="1" applyBorder="1" applyAlignment="1">
      <alignment horizontal="center" vertical="center" wrapText="1"/>
    </xf>
    <xf numFmtId="0" fontId="67" fillId="0" borderId="67" xfId="0" applyFont="1" applyBorder="1" applyAlignment="1">
      <alignment horizontal="center" vertical="center" wrapText="1"/>
    </xf>
    <xf numFmtId="9" fontId="23" fillId="3" borderId="68" xfId="0" applyNumberFormat="1" applyFont="1" applyFill="1" applyBorder="1" applyAlignment="1">
      <alignment horizontal="center" vertical="center" wrapText="1"/>
    </xf>
    <xf numFmtId="0" fontId="68" fillId="0" borderId="75" xfId="0" applyFont="1" applyBorder="1" applyAlignment="1">
      <alignment horizontal="center" vertical="center" wrapText="1"/>
    </xf>
    <xf numFmtId="0" fontId="38" fillId="0" borderId="97" xfId="0" applyFont="1" applyBorder="1" applyAlignment="1">
      <alignment horizontal="center" vertical="center" wrapText="1"/>
    </xf>
    <xf numFmtId="0" fontId="32" fillId="0" borderId="103" xfId="0" applyFont="1" applyBorder="1"/>
    <xf numFmtId="0" fontId="32" fillId="0" borderId="91" xfId="0" applyFont="1" applyBorder="1"/>
    <xf numFmtId="0" fontId="32" fillId="0" borderId="74" xfId="0" applyFont="1" applyBorder="1"/>
    <xf numFmtId="0" fontId="32" fillId="0" borderId="99" xfId="0" applyFont="1" applyBorder="1"/>
    <xf numFmtId="0" fontId="32" fillId="0" borderId="102" xfId="0" applyFont="1" applyBorder="1"/>
    <xf numFmtId="9" fontId="64" fillId="3" borderId="97" xfId="0" applyNumberFormat="1" applyFont="1" applyFill="1" applyBorder="1" applyAlignment="1">
      <alignment horizontal="center" vertical="top" wrapText="1"/>
    </xf>
    <xf numFmtId="0" fontId="61" fillId="0" borderId="126" xfId="0" applyFont="1" applyBorder="1"/>
    <xf numFmtId="0" fontId="61" fillId="0" borderId="124" xfId="0" applyFont="1" applyBorder="1"/>
    <xf numFmtId="0" fontId="23" fillId="3" borderId="17" xfId="0" applyFont="1" applyFill="1" applyBorder="1" applyAlignment="1">
      <alignment horizontal="center" vertical="top"/>
    </xf>
    <xf numFmtId="0" fontId="33" fillId="0" borderId="107" xfId="0" applyFont="1" applyBorder="1" applyAlignment="1">
      <alignment horizontal="center" vertical="center"/>
    </xf>
    <xf numFmtId="0" fontId="32" fillId="0" borderId="87" xfId="0" applyFont="1" applyBorder="1"/>
    <xf numFmtId="0" fontId="32" fillId="0" borderId="88" xfId="0" applyFont="1" applyBorder="1"/>
    <xf numFmtId="0" fontId="32" fillId="0" borderId="105" xfId="0" applyFont="1" applyBorder="1"/>
    <xf numFmtId="0" fontId="35" fillId="0" borderId="0" xfId="0" applyFont="1"/>
    <xf numFmtId="0" fontId="32" fillId="0" borderId="123" xfId="0" applyFont="1" applyBorder="1"/>
    <xf numFmtId="0" fontId="32" fillId="0" borderId="124" xfId="0" applyFont="1" applyBorder="1"/>
    <xf numFmtId="0" fontId="38" fillId="0" borderId="86" xfId="0" applyFont="1" applyBorder="1" applyAlignment="1">
      <alignment horizontal="center" vertical="center" wrapText="1"/>
    </xf>
    <xf numFmtId="0" fontId="64" fillId="3" borderId="32" xfId="0" applyFont="1" applyFill="1" applyBorder="1" applyAlignment="1">
      <alignment horizontal="right" vertical="center" wrapText="1"/>
    </xf>
    <xf numFmtId="0" fontId="61" fillId="0" borderId="33" xfId="0" applyFont="1" applyBorder="1"/>
    <xf numFmtId="0" fontId="61" fillId="0" borderId="34" xfId="0" applyFont="1" applyBorder="1"/>
    <xf numFmtId="0" fontId="23" fillId="0" borderId="107" xfId="0" applyFont="1" applyBorder="1" applyAlignment="1">
      <alignment horizontal="center" vertical="center"/>
    </xf>
    <xf numFmtId="0" fontId="61" fillId="0" borderId="87" xfId="0" applyFont="1" applyBorder="1"/>
    <xf numFmtId="0" fontId="61" fillId="0" borderId="105" xfId="0" applyFont="1" applyBorder="1"/>
    <xf numFmtId="0" fontId="61" fillId="0" borderId="106" xfId="0" applyFont="1" applyBorder="1"/>
    <xf numFmtId="0" fontId="59" fillId="0" borderId="86" xfId="0" applyFont="1" applyBorder="1" applyAlignment="1">
      <alignment horizontal="left" vertical="top" wrapText="1"/>
    </xf>
    <xf numFmtId="0" fontId="58" fillId="0" borderId="87" xfId="0" applyFont="1" applyBorder="1"/>
    <xf numFmtId="0" fontId="58" fillId="0" borderId="88" xfId="0" applyFont="1" applyBorder="1"/>
    <xf numFmtId="0" fontId="58" fillId="0" borderId="91" xfId="0" applyFont="1" applyBorder="1"/>
    <xf numFmtId="0" fontId="60" fillId="0" borderId="0" xfId="0" applyFont="1"/>
    <xf numFmtId="0" fontId="58" fillId="0" borderId="74" xfId="0" applyFont="1" applyBorder="1"/>
    <xf numFmtId="0" fontId="58" fillId="0" borderId="100" xfId="0" applyFont="1" applyBorder="1"/>
    <xf numFmtId="0" fontId="58" fillId="0" borderId="93" xfId="0" applyFont="1" applyBorder="1"/>
    <xf numFmtId="0" fontId="58" fillId="0" borderId="94" xfId="0" applyFont="1" applyBorder="1"/>
    <xf numFmtId="0" fontId="12" fillId="0" borderId="67" xfId="0" applyFont="1" applyBorder="1" applyAlignment="1">
      <alignment horizontal="center" vertical="top" wrapText="1"/>
    </xf>
    <xf numFmtId="0" fontId="45" fillId="0" borderId="62" xfId="0" applyFont="1" applyBorder="1"/>
    <xf numFmtId="9" fontId="23" fillId="0" borderId="67" xfId="0" applyNumberFormat="1" applyFont="1" applyBorder="1" applyAlignment="1">
      <alignment horizontal="center" vertical="top"/>
    </xf>
    <xf numFmtId="0" fontId="33" fillId="0" borderId="105" xfId="0" applyFont="1" applyBorder="1" applyAlignment="1">
      <alignment horizontal="center" vertical="center" wrapText="1"/>
    </xf>
    <xf numFmtId="0" fontId="33" fillId="0" borderId="52" xfId="0" applyFont="1" applyBorder="1" applyAlignment="1">
      <alignment horizontal="center" vertical="top" wrapText="1"/>
    </xf>
    <xf numFmtId="0" fontId="32" fillId="0" borderId="75" xfId="0" applyFont="1" applyBorder="1"/>
    <xf numFmtId="0" fontId="32" fillId="0" borderId="98" xfId="0" applyFont="1" applyBorder="1"/>
    <xf numFmtId="0" fontId="64" fillId="3" borderId="97" xfId="0" applyFont="1" applyFill="1" applyBorder="1" applyAlignment="1">
      <alignment horizontal="center" wrapText="1"/>
    </xf>
    <xf numFmtId="0" fontId="80" fillId="0" borderId="126" xfId="0" applyFont="1" applyBorder="1"/>
    <xf numFmtId="0" fontId="80" fillId="0" borderId="103" xfId="0" applyFont="1" applyBorder="1"/>
    <xf numFmtId="0" fontId="80" fillId="0" borderId="99" xfId="0" applyFont="1" applyBorder="1"/>
    <xf numFmtId="0" fontId="80" fillId="0" borderId="124" xfId="0" applyFont="1" applyBorder="1"/>
    <xf numFmtId="0" fontId="80" fillId="0" borderId="102" xfId="0" applyFont="1" applyBorder="1"/>
    <xf numFmtId="0" fontId="23" fillId="3" borderId="17" xfId="0" applyFont="1" applyFill="1" applyBorder="1" applyAlignment="1">
      <alignment horizontal="center" vertical="top" wrapText="1"/>
    </xf>
    <xf numFmtId="0" fontId="33" fillId="0" borderId="52" xfId="0" applyFont="1" applyBorder="1" applyAlignment="1">
      <alignment horizontal="center" vertical="top"/>
    </xf>
    <xf numFmtId="9" fontId="33" fillId="0" borderId="52" xfId="0" applyNumberFormat="1" applyFont="1" applyBorder="1" applyAlignment="1">
      <alignment horizontal="center" vertical="top"/>
    </xf>
    <xf numFmtId="0" fontId="23" fillId="0" borderId="107" xfId="0" applyFont="1" applyBorder="1" applyAlignment="1">
      <alignment horizontal="center" vertical="center" wrapText="1"/>
    </xf>
    <xf numFmtId="0" fontId="33" fillId="3" borderId="52" xfId="0" applyFont="1" applyFill="1" applyBorder="1" applyAlignment="1">
      <alignment horizontal="center" vertical="top" wrapText="1"/>
    </xf>
    <xf numFmtId="0" fontId="38" fillId="0" borderId="91" xfId="0" applyFont="1" applyBorder="1" applyAlignment="1">
      <alignment horizontal="center" vertical="center" wrapText="1"/>
    </xf>
    <xf numFmtId="0" fontId="33" fillId="0" borderId="67" xfId="0" applyFont="1" applyBorder="1" applyAlignment="1">
      <alignment horizontal="center" vertical="top"/>
    </xf>
    <xf numFmtId="0" fontId="33" fillId="0" borderId="67" xfId="0" applyFont="1" applyBorder="1" applyAlignment="1">
      <alignment horizontal="center" vertical="top" wrapText="1"/>
    </xf>
    <xf numFmtId="0" fontId="33" fillId="3" borderId="68" xfId="0" applyFont="1" applyFill="1" applyBorder="1" applyAlignment="1">
      <alignment horizontal="center" vertical="top" wrapText="1"/>
    </xf>
    <xf numFmtId="9" fontId="33" fillId="0" borderId="75" xfId="0" applyNumberFormat="1" applyFont="1" applyBorder="1" applyAlignment="1">
      <alignment horizontal="center" vertical="top"/>
    </xf>
    <xf numFmtId="9" fontId="18" fillId="0" borderId="75" xfId="0" applyNumberFormat="1" applyFont="1" applyBorder="1" applyAlignment="1">
      <alignment horizontal="center" vertical="top"/>
    </xf>
    <xf numFmtId="0" fontId="18" fillId="0" borderId="75" xfId="0" applyFont="1" applyBorder="1" applyAlignment="1">
      <alignment horizontal="center" vertical="top" wrapText="1"/>
    </xf>
    <xf numFmtId="9" fontId="33" fillId="0" borderId="67" xfId="0" applyNumberFormat="1" applyFont="1" applyBorder="1" applyAlignment="1">
      <alignment horizontal="center" vertical="top"/>
    </xf>
    <xf numFmtId="0" fontId="61" fillId="0" borderId="121" xfId="0" applyFont="1" applyBorder="1"/>
    <xf numFmtId="0" fontId="39" fillId="4" borderId="35" xfId="0" applyFont="1" applyFill="1" applyBorder="1" applyAlignment="1">
      <alignment horizontal="center" vertical="center"/>
    </xf>
    <xf numFmtId="0" fontId="32" fillId="0" borderId="36" xfId="0" applyFont="1" applyBorder="1"/>
    <xf numFmtId="0" fontId="31" fillId="6" borderId="43" xfId="0" applyFont="1" applyFill="1" applyBorder="1" applyAlignment="1">
      <alignment horizontal="center" vertical="center" wrapText="1"/>
    </xf>
    <xf numFmtId="0" fontId="32" fillId="0" borderId="114" xfId="0" applyFont="1" applyBorder="1"/>
    <xf numFmtId="0" fontId="31" fillId="4" borderId="40" xfId="0" applyFont="1" applyFill="1" applyBorder="1" applyAlignment="1">
      <alignment horizontal="center" vertical="center" wrapText="1"/>
    </xf>
    <xf numFmtId="0" fontId="32" fillId="0" borderId="115" xfId="0" applyFont="1" applyBorder="1"/>
    <xf numFmtId="0" fontId="31" fillId="4" borderId="44" xfId="0" applyFont="1" applyFill="1" applyBorder="1" applyAlignment="1">
      <alignment horizontal="center" vertical="center" wrapText="1"/>
    </xf>
    <xf numFmtId="0" fontId="37" fillId="0" borderId="32" xfId="0" applyFont="1" applyBorder="1" applyAlignment="1">
      <alignment horizontal="center" vertical="center"/>
    </xf>
    <xf numFmtId="0" fontId="31" fillId="6" borderId="107" xfId="0" applyFont="1" applyFill="1" applyBorder="1" applyAlignment="1">
      <alignment horizontal="center" vertical="center" wrapText="1"/>
    </xf>
    <xf numFmtId="0" fontId="32" fillId="0" borderId="110" xfId="0" applyFont="1" applyBorder="1"/>
    <xf numFmtId="0" fontId="32" fillId="0" borderId="111" xfId="0" applyFont="1" applyBorder="1"/>
    <xf numFmtId="0" fontId="32" fillId="0" borderId="112" xfId="0" applyFont="1" applyBorder="1"/>
    <xf numFmtId="0" fontId="32" fillId="0" borderId="108" xfId="0" applyFont="1" applyBorder="1"/>
    <xf numFmtId="0" fontId="32" fillId="0" borderId="113" xfId="0" applyFont="1" applyBorder="1"/>
    <xf numFmtId="0" fontId="31" fillId="4" borderId="39" xfId="0" applyFont="1" applyFill="1" applyBorder="1" applyAlignment="1">
      <alignment horizontal="center" vertical="center" wrapText="1"/>
    </xf>
    <xf numFmtId="164" fontId="23" fillId="0" borderId="67" xfId="0" applyNumberFormat="1" applyFont="1" applyBorder="1" applyAlignment="1">
      <alignment horizontal="center" vertical="center" wrapText="1"/>
    </xf>
    <xf numFmtId="0" fontId="31" fillId="0" borderId="52" xfId="0" applyFont="1" applyBorder="1" applyAlignment="1">
      <alignment horizontal="center" vertical="center" wrapText="1"/>
    </xf>
    <xf numFmtId="0" fontId="33" fillId="0" borderId="53" xfId="0" applyFont="1" applyBorder="1" applyAlignment="1">
      <alignment horizontal="center"/>
    </xf>
    <xf numFmtId="0" fontId="32" fillId="0" borderId="79" xfId="0" applyFont="1" applyBorder="1"/>
    <xf numFmtId="0" fontId="32" fillId="0" borderId="101" xfId="0" applyFont="1" applyBorder="1"/>
    <xf numFmtId="0" fontId="31" fillId="4" borderId="40" xfId="0" applyFont="1" applyFill="1" applyBorder="1" applyAlignment="1">
      <alignment vertical="center" wrapText="1"/>
    </xf>
    <xf numFmtId="0" fontId="31" fillId="4" borderId="49" xfId="0" applyFont="1" applyFill="1" applyBorder="1" applyAlignment="1">
      <alignment horizontal="center" vertical="center" wrapText="1"/>
    </xf>
    <xf numFmtId="0" fontId="32" fillId="0" borderId="117" xfId="0" applyFont="1" applyBorder="1"/>
    <xf numFmtId="0" fontId="61" fillId="0" borderId="75" xfId="0" applyFont="1" applyBorder="1" applyAlignment="1">
      <alignment horizontal="left"/>
    </xf>
    <xf numFmtId="0" fontId="61" fillId="0" borderId="62" xfId="0" applyFont="1" applyBorder="1" applyAlignment="1">
      <alignment horizontal="left"/>
    </xf>
    <xf numFmtId="0" fontId="23" fillId="0" borderId="67" xfId="0" applyFont="1" applyBorder="1" applyAlignment="1">
      <alignment horizontal="center"/>
    </xf>
    <xf numFmtId="164" fontId="64" fillId="0" borderId="90" xfId="0" applyNumberFormat="1" applyFont="1" applyBorder="1" applyAlignment="1">
      <alignment horizontal="center" vertical="center"/>
    </xf>
    <xf numFmtId="0" fontId="61" fillId="0" borderId="79" xfId="0" applyFont="1" applyBorder="1"/>
    <xf numFmtId="0" fontId="31" fillId="0" borderId="75" xfId="0" applyFont="1" applyBorder="1" applyAlignment="1">
      <alignment horizontal="center" vertical="center" wrapText="1"/>
    </xf>
    <xf numFmtId="0" fontId="33" fillId="0" borderId="79" xfId="0" applyFont="1" applyBorder="1" applyAlignment="1">
      <alignment horizontal="center"/>
    </xf>
    <xf numFmtId="0" fontId="66" fillId="0" borderId="86" xfId="0" applyFont="1" applyBorder="1" applyAlignment="1">
      <alignment horizontal="center" vertical="center" wrapText="1"/>
    </xf>
    <xf numFmtId="0" fontId="32" fillId="0" borderId="106" xfId="0" applyFont="1" applyBorder="1"/>
    <xf numFmtId="0" fontId="32" fillId="0" borderId="93" xfId="0" applyFont="1" applyBorder="1"/>
    <xf numFmtId="0" fontId="32" fillId="0" borderId="94" xfId="0" applyFont="1" applyBorder="1"/>
    <xf numFmtId="0" fontId="33" fillId="3" borderId="67" xfId="0" applyFont="1" applyFill="1" applyBorder="1" applyAlignment="1">
      <alignment horizontal="center" vertical="top" wrapText="1"/>
    </xf>
    <xf numFmtId="0" fontId="32" fillId="0" borderId="100" xfId="0" applyFont="1" applyBorder="1"/>
    <xf numFmtId="0" fontId="32" fillId="0" borderId="62" xfId="0" applyFont="1" applyBorder="1"/>
    <xf numFmtId="9" fontId="66" fillId="0" borderId="67" xfId="0" applyNumberFormat="1" applyFont="1" applyBorder="1" applyAlignment="1">
      <alignment horizontal="center" vertical="center" wrapText="1"/>
    </xf>
    <xf numFmtId="9" fontId="18" fillId="0" borderId="67" xfId="0" applyNumberFormat="1" applyFont="1" applyBorder="1" applyAlignment="1">
      <alignment horizontal="center" vertical="top"/>
    </xf>
    <xf numFmtId="0" fontId="18" fillId="0" borderId="67" xfId="0" applyFont="1" applyBorder="1" applyAlignment="1">
      <alignment horizontal="center" vertical="top" wrapText="1"/>
    </xf>
    <xf numFmtId="0" fontId="63" fillId="0" borderId="117" xfId="0" applyFont="1" applyBorder="1" applyAlignment="1">
      <alignment horizontal="center" vertical="center"/>
    </xf>
    <xf numFmtId="0" fontId="61" fillId="0" borderId="112" xfId="0" applyFont="1" applyBorder="1"/>
    <xf numFmtId="0" fontId="23" fillId="0" borderId="139" xfId="0" applyFont="1" applyBorder="1" applyAlignment="1">
      <alignment horizontal="center" vertical="center" wrapText="1"/>
    </xf>
    <xf numFmtId="0" fontId="61" fillId="0" borderId="100" xfId="0" applyFont="1" applyBorder="1"/>
    <xf numFmtId="0" fontId="23" fillId="3" borderId="81" xfId="0" applyFont="1" applyFill="1" applyBorder="1" applyAlignment="1">
      <alignment horizontal="center" vertical="center" wrapText="1"/>
    </xf>
    <xf numFmtId="9" fontId="23" fillId="0" borderId="81" xfId="0" applyNumberFormat="1" applyFont="1" applyBorder="1" applyAlignment="1">
      <alignment horizontal="center" vertical="center"/>
    </xf>
    <xf numFmtId="0" fontId="23" fillId="0" borderId="81" xfId="0" applyFont="1" applyBorder="1" applyAlignment="1">
      <alignment horizontal="center" vertical="center"/>
    </xf>
    <xf numFmtId="0" fontId="63" fillId="0" borderId="107" xfId="0" applyFont="1" applyBorder="1" applyAlignment="1">
      <alignment horizontal="center" vertical="center"/>
    </xf>
    <xf numFmtId="0" fontId="61" fillId="0" borderId="84" xfId="0" applyFont="1" applyBorder="1"/>
    <xf numFmtId="0" fontId="84" fillId="0" borderId="175" xfId="0" applyFont="1" applyBorder="1" applyAlignment="1">
      <alignment horizontal="center" vertical="center" wrapText="1" readingOrder="1"/>
    </xf>
    <xf numFmtId="0" fontId="61" fillId="0" borderId="115" xfId="0" applyFont="1" applyBorder="1"/>
    <xf numFmtId="0" fontId="61" fillId="0" borderId="178" xfId="0" applyFont="1" applyBorder="1"/>
    <xf numFmtId="164" fontId="64" fillId="0" borderId="148" xfId="0" applyNumberFormat="1" applyFont="1" applyBorder="1" applyAlignment="1">
      <alignment horizontal="center" vertical="center"/>
    </xf>
    <xf numFmtId="0" fontId="61" fillId="0" borderId="150" xfId="0" applyFont="1" applyBorder="1"/>
    <xf numFmtId="0" fontId="61" fillId="0" borderId="158" xfId="0" applyFont="1" applyBorder="1"/>
    <xf numFmtId="0" fontId="61" fillId="0" borderId="108" xfId="0" applyFont="1" applyBorder="1"/>
    <xf numFmtId="0" fontId="61" fillId="0" borderId="117" xfId="0" applyFont="1" applyBorder="1"/>
    <xf numFmtId="0" fontId="63" fillId="0" borderId="167" xfId="0" applyFont="1" applyBorder="1" applyAlignment="1">
      <alignment horizontal="center" vertical="center"/>
    </xf>
    <xf numFmtId="0" fontId="61" fillId="0" borderId="170" xfId="0" applyFont="1" applyBorder="1"/>
    <xf numFmtId="0" fontId="67" fillId="0" borderId="144" xfId="0" applyFont="1" applyBorder="1" applyAlignment="1">
      <alignment horizontal="center" vertical="center" wrapText="1"/>
    </xf>
    <xf numFmtId="0" fontId="62" fillId="0" borderId="170" xfId="0" applyFont="1" applyBorder="1"/>
    <xf numFmtId="0" fontId="23" fillId="3" borderId="175" xfId="0" applyFont="1" applyFill="1" applyBorder="1" applyAlignment="1">
      <alignment horizontal="center" vertical="center" wrapText="1"/>
    </xf>
    <xf numFmtId="9" fontId="23" fillId="0" borderId="175" xfId="0" applyNumberFormat="1" applyFont="1" applyBorder="1" applyAlignment="1">
      <alignment horizontal="center" vertical="center"/>
    </xf>
    <xf numFmtId="0" fontId="23" fillId="0" borderId="145" xfId="0" applyFont="1" applyBorder="1" applyAlignment="1">
      <alignment horizontal="center" vertical="center"/>
    </xf>
    <xf numFmtId="0" fontId="23" fillId="0" borderId="146" xfId="0" applyFont="1" applyBorder="1" applyAlignment="1">
      <alignment horizontal="center" vertical="top" wrapText="1"/>
    </xf>
    <xf numFmtId="0" fontId="23" fillId="0" borderId="91" xfId="0" applyFont="1" applyBorder="1" applyAlignment="1">
      <alignment horizontal="center" vertical="center" wrapText="1"/>
    </xf>
    <xf numFmtId="0" fontId="23" fillId="3" borderId="118" xfId="0" applyFont="1" applyFill="1" applyBorder="1" applyAlignment="1">
      <alignment horizontal="center" vertical="center" wrapText="1"/>
    </xf>
    <xf numFmtId="9" fontId="23" fillId="0" borderId="118" xfId="0" applyNumberFormat="1" applyFont="1" applyBorder="1" applyAlignment="1">
      <alignment horizontal="center" vertical="center"/>
    </xf>
    <xf numFmtId="0" fontId="23" fillId="0" borderId="118" xfId="0" applyFont="1" applyBorder="1" applyAlignment="1">
      <alignment horizontal="center" vertical="center"/>
    </xf>
    <xf numFmtId="0" fontId="23" fillId="0" borderId="118" xfId="0" applyFont="1" applyBorder="1" applyAlignment="1">
      <alignment horizontal="center" vertical="center" wrapText="1"/>
    </xf>
    <xf numFmtId="0" fontId="39" fillId="4" borderId="32" xfId="0" applyFont="1" applyFill="1" applyBorder="1" applyAlignment="1">
      <alignment horizontal="center" vertical="center"/>
    </xf>
    <xf numFmtId="0" fontId="31" fillId="6" borderId="44" xfId="0" applyFont="1" applyFill="1" applyBorder="1" applyAlignment="1">
      <alignment horizontal="center" vertical="center" wrapText="1"/>
    </xf>
    <xf numFmtId="0" fontId="68" fillId="0" borderId="0" xfId="0" applyFont="1" applyAlignment="1">
      <alignment horizontal="left" vertical="top" wrapText="1"/>
    </xf>
    <xf numFmtId="0" fontId="64" fillId="3" borderId="35" xfId="0" applyFont="1" applyFill="1" applyBorder="1" applyAlignment="1">
      <alignment horizontal="right" vertical="center" wrapText="1"/>
    </xf>
    <xf numFmtId="0" fontId="5" fillId="0" borderId="0" xfId="0" applyFont="1" applyAlignment="1">
      <alignment horizontal="left" vertical="center" wrapText="1"/>
    </xf>
    <xf numFmtId="0" fontId="37" fillId="0" borderId="107" xfId="0" applyFont="1" applyBorder="1" applyAlignment="1">
      <alignment horizontal="center" vertical="center"/>
    </xf>
    <xf numFmtId="0" fontId="31" fillId="6" borderId="167" xfId="0" applyFont="1" applyFill="1" applyBorder="1" applyAlignment="1">
      <alignment horizontal="center" vertical="center" wrapText="1"/>
    </xf>
    <xf numFmtId="0" fontId="32" fillId="0" borderId="181" xfId="0" applyFont="1" applyBorder="1"/>
    <xf numFmtId="0" fontId="32" fillId="0" borderId="166" xfId="0" applyFont="1" applyBorder="1"/>
    <xf numFmtId="0" fontId="32" fillId="0" borderId="182" xfId="0" applyFont="1" applyBorder="1"/>
    <xf numFmtId="0" fontId="74" fillId="0" borderId="75" xfId="0" applyFont="1" applyBorder="1" applyAlignment="1">
      <alignment horizontal="center" vertical="center" wrapText="1"/>
    </xf>
    <xf numFmtId="0" fontId="31" fillId="0" borderId="53" xfId="0" applyFont="1" applyBorder="1" applyAlignment="1">
      <alignment horizontal="center"/>
    </xf>
    <xf numFmtId="164" fontId="23" fillId="0" borderId="146" xfId="0" applyNumberFormat="1" applyFont="1" applyBorder="1" applyAlignment="1">
      <alignment horizontal="center" vertical="center" wrapText="1"/>
    </xf>
    <xf numFmtId="164" fontId="23" fillId="0" borderId="81" xfId="0" applyNumberFormat="1" applyFont="1" applyBorder="1" applyAlignment="1">
      <alignment horizontal="center" vertical="center" wrapText="1"/>
    </xf>
    <xf numFmtId="164" fontId="64" fillId="0" borderId="84" xfId="0" applyNumberFormat="1" applyFont="1" applyBorder="1" applyAlignment="1">
      <alignment horizontal="center" vertical="center"/>
    </xf>
    <xf numFmtId="164" fontId="23" fillId="0" borderId="52" xfId="0" applyNumberFormat="1" applyFont="1" applyBorder="1" applyAlignment="1">
      <alignment horizontal="center" vertical="center" wrapText="1"/>
    </xf>
    <xf numFmtId="164" fontId="64" fillId="0" borderId="53" xfId="0" applyNumberFormat="1" applyFont="1" applyBorder="1" applyAlignment="1">
      <alignment horizontal="center" vertical="center"/>
    </xf>
    <xf numFmtId="0" fontId="31" fillId="0" borderId="79" xfId="0" applyFont="1" applyBorder="1" applyAlignment="1">
      <alignment horizontal="center"/>
    </xf>
    <xf numFmtId="0" fontId="23" fillId="0" borderId="81" xfId="0" applyFont="1" applyBorder="1" applyAlignment="1">
      <alignment horizontal="left" vertical="center" wrapText="1"/>
    </xf>
    <xf numFmtId="0" fontId="61" fillId="0" borderId="98" xfId="0" applyFont="1" applyBorder="1" applyAlignment="1">
      <alignment horizontal="left"/>
    </xf>
    <xf numFmtId="0" fontId="23" fillId="0" borderId="118" xfId="0" applyFont="1" applyBorder="1" applyAlignment="1">
      <alignment horizontal="left" vertical="center" wrapText="1"/>
    </xf>
    <xf numFmtId="0" fontId="61" fillId="0" borderId="81" xfId="0" applyFont="1" applyBorder="1" applyAlignment="1">
      <alignment horizontal="left"/>
    </xf>
    <xf numFmtId="0" fontId="23" fillId="0" borderId="97" xfId="0" applyFont="1" applyBorder="1" applyAlignment="1">
      <alignment horizontal="center" vertical="center" wrapText="1"/>
    </xf>
    <xf numFmtId="0" fontId="23" fillId="0" borderId="52" xfId="0" applyFont="1" applyBorder="1" applyAlignment="1">
      <alignment horizontal="center" vertical="center" wrapText="1"/>
    </xf>
    <xf numFmtId="10" fontId="23" fillId="3" borderId="52" xfId="0" applyNumberFormat="1" applyFont="1" applyFill="1" applyBorder="1" applyAlignment="1">
      <alignment horizontal="center" vertical="center" wrapText="1"/>
    </xf>
    <xf numFmtId="0" fontId="31" fillId="4" borderId="32" xfId="0" applyFont="1" applyFill="1" applyBorder="1" applyAlignment="1">
      <alignment horizontal="center" vertical="center" wrapText="1"/>
    </xf>
    <xf numFmtId="0" fontId="31" fillId="6" borderId="40" xfId="0" applyFont="1" applyFill="1" applyBorder="1" applyAlignment="1">
      <alignment horizontal="center" vertical="center" wrapText="1"/>
    </xf>
    <xf numFmtId="9" fontId="23" fillId="0" borderId="67" xfId="0" applyNumberFormat="1" applyFont="1" applyBorder="1" applyAlignment="1">
      <alignment horizontal="center" vertical="center"/>
    </xf>
    <xf numFmtId="10" fontId="23" fillId="3" borderId="67" xfId="0" applyNumberFormat="1" applyFont="1" applyFill="1" applyBorder="1" applyAlignment="1">
      <alignment horizontal="center" vertical="center" wrapText="1"/>
    </xf>
    <xf numFmtId="0" fontId="23" fillId="0" borderId="80" xfId="0" applyFont="1" applyBorder="1" applyAlignment="1">
      <alignment horizontal="center" vertical="center" wrapText="1"/>
    </xf>
    <xf numFmtId="0" fontId="23" fillId="0" borderId="146" xfId="0" applyFont="1" applyBorder="1" applyAlignment="1">
      <alignment horizontal="left" vertical="center" wrapText="1"/>
    </xf>
    <xf numFmtId="0" fontId="23" fillId="0" borderId="117" xfId="0" applyFont="1" applyBorder="1" applyAlignment="1">
      <alignment horizontal="center" vertical="center" wrapText="1"/>
    </xf>
    <xf numFmtId="49" fontId="23" fillId="0" borderId="81" xfId="0" applyNumberFormat="1" applyFont="1" applyBorder="1" applyAlignment="1">
      <alignment horizontal="center" vertical="center" wrapText="1"/>
    </xf>
    <xf numFmtId="0" fontId="70" fillId="0" borderId="81" xfId="0" applyFont="1" applyBorder="1" applyAlignment="1">
      <alignment horizontal="center" vertical="center"/>
    </xf>
    <xf numFmtId="0" fontId="66" fillId="0" borderId="143" xfId="0" applyFont="1" applyBorder="1" applyAlignment="1">
      <alignment horizontal="center" vertical="center" wrapText="1"/>
    </xf>
    <xf numFmtId="0" fontId="61" fillId="0" borderId="80" xfId="0" applyFont="1" applyBorder="1"/>
    <xf numFmtId="0" fontId="61" fillId="0" borderId="153" xfId="0" applyFont="1" applyBorder="1"/>
    <xf numFmtId="0" fontId="69" fillId="0" borderId="40" xfId="0" applyFont="1" applyBorder="1" applyAlignment="1">
      <alignment horizontal="center" vertical="center" wrapText="1"/>
    </xf>
    <xf numFmtId="0" fontId="61" fillId="0" borderId="48" xfId="0" applyFont="1" applyBorder="1"/>
    <xf numFmtId="0" fontId="23" fillId="0" borderId="144" xfId="0" applyFont="1" applyBorder="1" applyAlignment="1">
      <alignment horizontal="center" vertical="center" wrapText="1"/>
    </xf>
    <xf numFmtId="49" fontId="23" fillId="0" borderId="146" xfId="0" applyNumberFormat="1" applyFont="1" applyBorder="1" applyAlignment="1">
      <alignment horizontal="center" vertical="center" wrapText="1"/>
    </xf>
    <xf numFmtId="9" fontId="23" fillId="0" borderId="146" xfId="0" applyNumberFormat="1" applyFont="1" applyBorder="1" applyAlignment="1">
      <alignment horizontal="center" vertical="center"/>
    </xf>
    <xf numFmtId="0" fontId="23" fillId="0" borderId="141" xfId="0" applyFont="1" applyBorder="1" applyAlignment="1">
      <alignment horizontal="center" vertical="center" wrapText="1"/>
    </xf>
    <xf numFmtId="0" fontId="61" fillId="0" borderId="149" xfId="0" applyFont="1" applyBorder="1"/>
    <xf numFmtId="0" fontId="61" fillId="0" borderId="151" xfId="0" applyFont="1" applyBorder="1"/>
    <xf numFmtId="0" fontId="23" fillId="0" borderId="142" xfId="0" applyFont="1" applyBorder="1" applyAlignment="1">
      <alignment horizontal="center" vertical="center" wrapText="1"/>
    </xf>
    <xf numFmtId="0" fontId="61" fillId="0" borderId="152" xfId="0" applyFont="1" applyBorder="1"/>
    <xf numFmtId="0" fontId="23" fillId="0" borderId="88" xfId="0" applyFont="1" applyBorder="1" applyAlignment="1">
      <alignment horizontal="center" vertical="center" wrapText="1"/>
    </xf>
    <xf numFmtId="0" fontId="70" fillId="0" borderId="162" xfId="0" applyFont="1" applyBorder="1" applyAlignment="1">
      <alignment horizontal="center" vertical="center" wrapText="1"/>
    </xf>
    <xf numFmtId="0" fontId="61" fillId="0" borderId="55" xfId="0" applyFont="1" applyBorder="1"/>
    <xf numFmtId="164" fontId="23" fillId="0" borderId="53" xfId="0" applyNumberFormat="1" applyFont="1" applyBorder="1" applyAlignment="1">
      <alignment horizontal="center" vertical="center"/>
    </xf>
    <xf numFmtId="0" fontId="3" fillId="0" borderId="79" xfId="0" applyFont="1" applyBorder="1"/>
    <xf numFmtId="0" fontId="3" fillId="0" borderId="101" xfId="0" applyFont="1" applyBorder="1"/>
    <xf numFmtId="0" fontId="13" fillId="0" borderId="17" xfId="0" applyFont="1" applyBorder="1" applyAlignment="1">
      <alignment horizontal="center"/>
    </xf>
    <xf numFmtId="0" fontId="3" fillId="0" borderId="16" xfId="0" applyFont="1" applyBorder="1"/>
    <xf numFmtId="0" fontId="13" fillId="0" borderId="17" xfId="0" applyFont="1" applyBorder="1" applyAlignment="1">
      <alignment horizontal="left" vertical="top"/>
    </xf>
    <xf numFmtId="0" fontId="3" fillId="0" borderId="15" xfId="0" applyFont="1" applyBorder="1"/>
    <xf numFmtId="0" fontId="9" fillId="0" borderId="17" xfId="0" applyFont="1" applyBorder="1" applyAlignment="1">
      <alignment horizontal="left" vertical="top" wrapText="1"/>
    </xf>
    <xf numFmtId="0" fontId="13" fillId="0" borderId="17" xfId="0" applyFont="1" applyBorder="1" applyAlignment="1">
      <alignment horizontal="left" vertical="top" wrapText="1"/>
    </xf>
    <xf numFmtId="0" fontId="21" fillId="0" borderId="24" xfId="0" applyFont="1" applyBorder="1" applyAlignment="1">
      <alignment horizontal="right" vertical="center"/>
    </xf>
    <xf numFmtId="0" fontId="3" fillId="0" borderId="25" xfId="0" applyFont="1" applyBorder="1"/>
    <xf numFmtId="0" fontId="3" fillId="0" borderId="26" xfId="0" applyFont="1" applyBorder="1"/>
    <xf numFmtId="0" fontId="63" fillId="0" borderId="0" xfId="0" applyFont="1"/>
    <xf numFmtId="9" fontId="64" fillId="3" borderId="97" xfId="0" applyNumberFormat="1" applyFont="1" applyFill="1" applyBorder="1" applyAlignment="1">
      <alignment horizontal="center" wrapText="1"/>
    </xf>
    <xf numFmtId="0" fontId="23" fillId="0" borderId="0" xfId="0" applyFont="1"/>
    <xf numFmtId="0" fontId="16" fillId="0" borderId="93" xfId="0" applyFont="1" applyBorder="1" applyAlignment="1">
      <alignment horizontal="center" vertical="center"/>
    </xf>
    <xf numFmtId="0" fontId="3" fillId="0" borderId="93" xfId="0" applyFont="1" applyBorder="1"/>
    <xf numFmtId="0" fontId="15" fillId="0" borderId="51" xfId="0" applyFont="1" applyBorder="1" applyAlignment="1">
      <alignment horizontal="center" vertical="center"/>
    </xf>
    <xf numFmtId="0" fontId="3" fillId="0" borderId="73" xfId="0" applyFont="1" applyBorder="1"/>
    <xf numFmtId="0" fontId="3" fillId="0" borderId="104" xfId="0" applyFont="1" applyBorder="1"/>
    <xf numFmtId="0" fontId="15" fillId="0" borderId="51" xfId="0" applyFont="1" applyBorder="1" applyAlignment="1">
      <alignment horizontal="center" vertical="center" wrapText="1"/>
    </xf>
    <xf numFmtId="0" fontId="15" fillId="6" borderId="90" xfId="0" applyFont="1" applyFill="1" applyBorder="1" applyAlignment="1">
      <alignment horizontal="center" vertical="center" wrapText="1"/>
    </xf>
    <xf numFmtId="0" fontId="2" fillId="6" borderId="86" xfId="0" applyFont="1" applyFill="1" applyBorder="1" applyAlignment="1">
      <alignment horizontal="center" vertical="center"/>
    </xf>
    <xf numFmtId="0" fontId="3" fillId="0" borderId="87" xfId="0" applyFont="1" applyBorder="1"/>
    <xf numFmtId="0" fontId="3" fillId="0" borderId="88" xfId="0" applyFont="1" applyBorder="1"/>
    <xf numFmtId="0" fontId="3" fillId="0" borderId="99" xfId="0" applyFont="1" applyBorder="1"/>
    <xf numFmtId="0" fontId="3" fillId="0" borderId="124" xfId="0" applyFont="1" applyBorder="1"/>
    <xf numFmtId="0" fontId="3" fillId="0" borderId="102" xfId="0" applyFont="1" applyBorder="1"/>
    <xf numFmtId="0" fontId="9" fillId="0" borderId="17" xfId="0" applyFont="1" applyBorder="1" applyAlignment="1">
      <alignment vertical="top" wrapText="1"/>
    </xf>
    <xf numFmtId="0" fontId="11" fillId="0" borderId="17" xfId="0" applyFont="1" applyBorder="1" applyAlignment="1">
      <alignment horizontal="center" vertical="center" wrapText="1"/>
    </xf>
    <xf numFmtId="164" fontId="19" fillId="0" borderId="129" xfId="0" applyNumberFormat="1" applyFont="1" applyBorder="1" applyAlignment="1">
      <alignment horizontal="center" vertical="center"/>
    </xf>
    <xf numFmtId="0" fontId="3" fillId="0" borderId="47" xfId="0" applyFont="1" applyBorder="1"/>
    <xf numFmtId="0" fontId="3" fillId="0" borderId="130" xfId="0" applyFont="1" applyBorder="1"/>
    <xf numFmtId="0" fontId="13" fillId="0" borderId="17" xfId="0" applyFont="1" applyBorder="1" applyAlignment="1">
      <alignment vertical="top" wrapText="1"/>
    </xf>
    <xf numFmtId="0" fontId="2" fillId="4" borderId="85" xfId="0" applyFont="1" applyFill="1" applyBorder="1" applyAlignment="1">
      <alignment horizontal="center" vertical="center"/>
    </xf>
    <xf numFmtId="0" fontId="9" fillId="0" borderId="51" xfId="0" applyFont="1" applyBorder="1" applyAlignment="1">
      <alignment horizontal="center" vertical="top"/>
    </xf>
    <xf numFmtId="0" fontId="9" fillId="0" borderId="51" xfId="0" applyFont="1" applyBorder="1" applyAlignment="1">
      <alignment horizontal="center" vertical="top" wrapText="1"/>
    </xf>
    <xf numFmtId="0" fontId="2" fillId="3" borderId="2" xfId="0" applyFont="1" applyFill="1" applyBorder="1" applyAlignment="1">
      <alignment horizontal="center" vertical="center"/>
    </xf>
    <xf numFmtId="0" fontId="3" fillId="0" borderId="3" xfId="0" applyFont="1" applyBorder="1"/>
    <xf numFmtId="0" fontId="3" fillId="0" borderId="4" xfId="0" applyFont="1" applyBorder="1"/>
    <xf numFmtId="0" fontId="7" fillId="0" borderId="107" xfId="0" applyFont="1" applyBorder="1" applyAlignment="1">
      <alignment horizontal="left" vertical="center" wrapText="1"/>
    </xf>
    <xf numFmtId="0" fontId="3" fillId="0" borderId="108" xfId="0" applyFont="1" applyBorder="1"/>
    <xf numFmtId="0" fontId="15" fillId="6" borderId="67" xfId="0" applyFont="1" applyFill="1" applyBorder="1" applyAlignment="1">
      <alignment horizontal="center" vertical="center" wrapText="1"/>
    </xf>
    <xf numFmtId="0" fontId="3" fillId="0" borderId="81" xfId="0" applyFont="1" applyBorder="1"/>
    <xf numFmtId="0" fontId="7" fillId="0" borderId="105" xfId="0" applyFont="1" applyBorder="1" applyAlignment="1">
      <alignment horizontal="left" vertical="center" wrapText="1"/>
    </xf>
    <xf numFmtId="0" fontId="0" fillId="0" borderId="0" xfId="0"/>
    <xf numFmtId="0" fontId="3" fillId="0" borderId="98" xfId="0" applyFont="1" applyBorder="1"/>
    <xf numFmtId="0" fontId="1" fillId="2" borderId="52" xfId="0" applyFont="1" applyFill="1" applyBorder="1" applyAlignment="1">
      <alignment horizontal="center" vertical="center" wrapText="1"/>
    </xf>
    <xf numFmtId="0" fontId="3" fillId="0" borderId="75" xfId="0" applyFont="1" applyBorder="1"/>
    <xf numFmtId="0" fontId="1" fillId="2" borderId="97" xfId="0" applyFont="1" applyFill="1" applyBorder="1" applyAlignment="1">
      <alignment horizontal="left" vertical="top" wrapText="1"/>
    </xf>
    <xf numFmtId="0" fontId="3" fillId="0" borderId="103" xfId="0" applyFont="1" applyBorder="1"/>
    <xf numFmtId="0" fontId="1" fillId="2" borderId="97" xfId="0" applyFont="1" applyFill="1" applyBorder="1" applyAlignment="1">
      <alignment horizontal="left" vertical="center" wrapText="1"/>
    </xf>
    <xf numFmtId="0" fontId="7" fillId="2" borderId="132" xfId="0" applyFont="1" applyFill="1" applyBorder="1" applyAlignment="1">
      <alignment vertical="center" wrapText="1"/>
    </xf>
    <xf numFmtId="0" fontId="3" fillId="0" borderId="133" xfId="0" applyFont="1" applyBorder="1"/>
    <xf numFmtId="0" fontId="1" fillId="2" borderId="2" xfId="0" applyFont="1" applyFill="1" applyBorder="1" applyAlignment="1">
      <alignment horizontal="center" vertical="center" wrapText="1"/>
    </xf>
    <xf numFmtId="0" fontId="1" fillId="2" borderId="132" xfId="0" applyFont="1" applyFill="1" applyBorder="1" applyAlignment="1">
      <alignment vertical="center" wrapText="1"/>
    </xf>
    <xf numFmtId="0" fontId="3" fillId="0" borderId="126" xfId="0" applyFont="1" applyBorder="1"/>
    <xf numFmtId="0" fontId="24" fillId="2" borderId="20" xfId="0" applyFont="1" applyFill="1" applyBorder="1" applyAlignment="1">
      <alignment vertical="center" wrapText="1"/>
    </xf>
    <xf numFmtId="0" fontId="3" fillId="0" borderId="21" xfId="0" applyFont="1" applyBorder="1"/>
    <xf numFmtId="0" fontId="3" fillId="0" borderId="22" xfId="0" applyFont="1" applyBorder="1"/>
    <xf numFmtId="0" fontId="16" fillId="2" borderId="17" xfId="0" applyFont="1" applyFill="1" applyBorder="1" applyAlignment="1">
      <alignment horizontal="center" vertical="center" wrapText="1"/>
    </xf>
    <xf numFmtId="0" fontId="13" fillId="2" borderId="132" xfId="0" applyFont="1" applyFill="1" applyBorder="1" applyAlignment="1">
      <alignment vertical="center" wrapText="1"/>
    </xf>
    <xf numFmtId="0" fontId="6" fillId="2" borderId="132" xfId="0" applyFont="1" applyFill="1" applyBorder="1" applyAlignment="1">
      <alignment vertical="center" wrapText="1"/>
    </xf>
    <xf numFmtId="0" fontId="7" fillId="2" borderId="97" xfId="0" applyFont="1" applyFill="1" applyBorder="1" applyAlignment="1">
      <alignment horizontal="center" vertical="center" wrapText="1"/>
    </xf>
    <xf numFmtId="0" fontId="7" fillId="2" borderId="52" xfId="0" applyFont="1" applyFill="1" applyBorder="1" applyAlignment="1">
      <alignment horizontal="center" vertical="center" wrapText="1"/>
    </xf>
    <xf numFmtId="0" fontId="7" fillId="2" borderId="134" xfId="0" applyFont="1" applyFill="1" applyBorder="1" applyAlignment="1">
      <alignment horizontal="center" vertical="center" wrapText="1"/>
    </xf>
    <xf numFmtId="0" fontId="3" fillId="0" borderId="135" xfId="0" applyFont="1" applyBorder="1"/>
    <xf numFmtId="0" fontId="7" fillId="2" borderId="17" xfId="0" applyFont="1" applyFill="1" applyBorder="1" applyAlignment="1">
      <alignment horizontal="center" vertical="center" wrapText="1"/>
    </xf>
    <xf numFmtId="0" fontId="17" fillId="2" borderId="20" xfId="0" applyFont="1" applyFill="1" applyBorder="1" applyAlignment="1">
      <alignment horizontal="center" vertical="center"/>
    </xf>
    <xf numFmtId="2" fontId="2" fillId="2" borderId="137" xfId="0" applyNumberFormat="1" applyFont="1" applyFill="1" applyBorder="1" applyAlignment="1">
      <alignment horizontal="center" vertical="center" wrapText="1"/>
    </xf>
    <xf numFmtId="0" fontId="89" fillId="0" borderId="139" xfId="0" applyFont="1" applyBorder="1"/>
    <xf numFmtId="0" fontId="89" fillId="0" borderId="135" xfId="0" applyFont="1" applyBorder="1"/>
    <xf numFmtId="2" fontId="90" fillId="2" borderId="52" xfId="0" applyNumberFormat="1" applyFont="1" applyFill="1" applyBorder="1" applyAlignment="1">
      <alignment horizontal="center" vertical="center" wrapText="1"/>
    </xf>
    <xf numFmtId="0" fontId="91" fillId="0" borderId="75" xfId="0" applyFont="1" applyBorder="1"/>
    <xf numFmtId="0" fontId="91" fillId="0" borderId="98" xfId="0" applyFont="1" applyBorder="1"/>
    <xf numFmtId="0" fontId="3" fillId="0" borderId="16" xfId="0" applyFont="1" applyBorder="1" applyAlignment="1">
      <alignment vertical="center"/>
    </xf>
    <xf numFmtId="0" fontId="13" fillId="2" borderId="17" xfId="0" applyFont="1" applyFill="1" applyBorder="1" applyAlignment="1">
      <alignment horizontal="center" vertical="center" wrapText="1"/>
    </xf>
    <xf numFmtId="0" fontId="13" fillId="2" borderId="17" xfId="0" applyFont="1" applyFill="1" applyBorder="1" applyAlignment="1">
      <alignment horizontal="left" vertical="top" wrapText="1"/>
    </xf>
    <xf numFmtId="0" fontId="17" fillId="2" borderId="17" xfId="0" applyFont="1" applyFill="1" applyBorder="1" applyAlignment="1">
      <alignment horizontal="center" vertical="center" wrapText="1"/>
    </xf>
    <xf numFmtId="0" fontId="88" fillId="0" borderId="184" xfId="0" applyFont="1" applyBorder="1" applyAlignment="1">
      <alignment horizontal="left" vertical="center" wrapText="1"/>
    </xf>
    <xf numFmtId="0" fontId="88" fillId="0" borderId="185" xfId="0" applyFont="1" applyBorder="1" applyAlignment="1">
      <alignment horizontal="left" vertical="center" wrapText="1"/>
    </xf>
    <xf numFmtId="0" fontId="87" fillId="2" borderId="138" xfId="0" applyFont="1" applyFill="1" applyBorder="1" applyAlignment="1">
      <alignment horizontal="left" vertical="center" wrapText="1"/>
    </xf>
    <xf numFmtId="0" fontId="87" fillId="2" borderId="78" xfId="0" applyFont="1" applyFill="1" applyBorder="1" applyAlignment="1">
      <alignment horizontal="left" vertical="center" wrapText="1"/>
    </xf>
    <xf numFmtId="0" fontId="12" fillId="2" borderId="138" xfId="0" applyFont="1" applyFill="1" applyBorder="1" applyAlignment="1">
      <alignment horizontal="left" vertical="center" wrapText="1"/>
    </xf>
    <xf numFmtId="0" fontId="12" fillId="2" borderId="78" xfId="0" applyFont="1" applyFill="1" applyBorder="1" applyAlignment="1">
      <alignment horizontal="left" vertical="center" wrapText="1"/>
    </xf>
    <xf numFmtId="0" fontId="13" fillId="2" borderId="20" xfId="0" applyFont="1" applyFill="1" applyBorder="1" applyAlignment="1">
      <alignment vertical="center" wrapText="1"/>
    </xf>
    <xf numFmtId="0" fontId="16" fillId="2" borderId="2" xfId="0" applyFont="1" applyFill="1" applyBorder="1" applyAlignment="1">
      <alignment horizontal="center" vertical="center" wrapText="1"/>
    </xf>
  </cellXfs>
  <cellStyles count="1">
    <cellStyle name="Normal" xfId="0" builtinId="0"/>
  </cellStyles>
  <dxfs count="12">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ont>
        <color rgb="FF000000"/>
      </font>
      <fill>
        <patternFill patternType="solid">
          <fgColor rgb="FF6FA8DC"/>
          <bgColor rgb="FF6FA8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428625</xdr:colOff>
      <xdr:row>0</xdr:row>
      <xdr:rowOff>666750</xdr:rowOff>
    </xdr:from>
    <xdr:ext cx="1733550" cy="7048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483988" y="3432338"/>
          <a:ext cx="1724025" cy="6953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800"/>
            <a:buFont typeface="Calibri"/>
            <a:buNone/>
          </a:pPr>
          <a:r>
            <a:rPr lang="en-US" sz="2800" b="1">
              <a:solidFill>
                <a:schemeClr val="dk1"/>
              </a:solidFill>
              <a:latin typeface="Calibri"/>
              <a:ea typeface="Calibri"/>
              <a:cs typeface="Calibri"/>
              <a:sym typeface="Calibri"/>
            </a:rPr>
            <a:t>Annex A</a:t>
          </a:r>
          <a:endParaRPr sz="1400"/>
        </a:p>
      </xdr:txBody>
    </xdr:sp>
    <xdr:clientData fLocksWithSheet="0"/>
  </xdr:oneCellAnchor>
  <xdr:oneCellAnchor>
    <xdr:from>
      <xdr:col>10</xdr:col>
      <xdr:colOff>381000</xdr:colOff>
      <xdr:row>0</xdr:row>
      <xdr:rowOff>222250</xdr:rowOff>
    </xdr:from>
    <xdr:ext cx="11229975" cy="25558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2215091" y="222250"/>
          <a:ext cx="11229975" cy="25558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85623"/>
  </sheetPr>
  <dimension ref="A1:AG1002"/>
  <sheetViews>
    <sheetView tabSelected="1" view="pageLayout" topLeftCell="B52" zoomScale="53" zoomScaleNormal="25" zoomScaleSheetLayoutView="10" zoomScalePageLayoutView="53" workbookViewId="0">
      <selection activeCell="H55" sqref="H55:H57"/>
    </sheetView>
  </sheetViews>
  <sheetFormatPr defaultColWidth="12.7109375" defaultRowHeight="15" customHeight="1"/>
  <cols>
    <col min="1" max="1" width="1.42578125" style="76" customWidth="1"/>
    <col min="2" max="2" width="23.140625" style="76" customWidth="1"/>
    <col min="3" max="3" width="21.85546875" style="76" customWidth="1"/>
    <col min="4" max="4" width="19.85546875" style="76" customWidth="1"/>
    <col min="5" max="5" width="25.140625" style="76" customWidth="1"/>
    <col min="6" max="6" width="24.85546875" style="76" customWidth="1"/>
    <col min="7" max="7" width="6.28515625" style="76" customWidth="1"/>
    <col min="8" max="8" width="14.85546875" style="76" customWidth="1"/>
    <col min="9" max="9" width="15.42578125" style="76" customWidth="1"/>
    <col min="10" max="10" width="16.42578125" style="76" customWidth="1"/>
    <col min="11" max="11" width="19.140625" style="76" customWidth="1"/>
    <col min="12" max="12" width="18.85546875" style="76" customWidth="1"/>
    <col min="13" max="13" width="51.7109375" style="76" customWidth="1"/>
    <col min="14" max="14" width="45.28515625" style="76" customWidth="1"/>
    <col min="15" max="15" width="38" style="76" customWidth="1"/>
    <col min="16" max="16" width="35.85546875" style="76" customWidth="1"/>
    <col min="17" max="17" width="36.85546875" style="76" customWidth="1"/>
    <col min="18" max="18" width="24.42578125" style="76" customWidth="1"/>
    <col min="19" max="19" width="22.140625" style="76" customWidth="1"/>
    <col min="20" max="21" width="15.140625" style="76" customWidth="1"/>
    <col min="22" max="22" width="20.42578125" style="76" customWidth="1"/>
    <col min="23" max="23" width="62.42578125" style="76" customWidth="1"/>
    <col min="24" max="32" width="9.140625" style="76" customWidth="1"/>
    <col min="33" max="33" width="14.42578125" style="76" customWidth="1"/>
    <col min="34" max="16384" width="12.7109375" style="76"/>
  </cols>
  <sheetData>
    <row r="1" spans="1:33" ht="229.5" customHeight="1">
      <c r="A1" s="73"/>
      <c r="B1" s="421"/>
      <c r="C1" s="422"/>
      <c r="D1" s="422"/>
      <c r="E1" s="422"/>
      <c r="F1" s="422"/>
      <c r="G1" s="422"/>
      <c r="H1" s="422"/>
      <c r="I1" s="422"/>
      <c r="J1" s="422"/>
      <c r="K1" s="422"/>
      <c r="L1" s="422"/>
      <c r="M1" s="422"/>
      <c r="N1" s="422"/>
      <c r="O1" s="422"/>
      <c r="P1" s="422"/>
      <c r="Q1" s="422"/>
      <c r="R1" s="422"/>
      <c r="S1" s="422"/>
      <c r="T1" s="422"/>
      <c r="U1" s="422"/>
      <c r="V1" s="423"/>
      <c r="W1" s="74"/>
      <c r="X1" s="73"/>
      <c r="Y1" s="73"/>
      <c r="Z1" s="73"/>
      <c r="AA1" s="73"/>
      <c r="AB1" s="73"/>
      <c r="AC1" s="73"/>
      <c r="AD1" s="73"/>
      <c r="AE1" s="73"/>
      <c r="AF1" s="73"/>
      <c r="AG1" s="75"/>
    </row>
    <row r="2" spans="1:33" ht="42.75" customHeight="1">
      <c r="A2" s="73"/>
      <c r="B2" s="424" t="s">
        <v>609</v>
      </c>
      <c r="C2" s="425"/>
      <c r="D2" s="425"/>
      <c r="E2" s="425"/>
      <c r="F2" s="425"/>
      <c r="G2" s="425"/>
      <c r="H2" s="425"/>
      <c r="I2" s="425"/>
      <c r="J2" s="425"/>
      <c r="K2" s="425"/>
      <c r="L2" s="425"/>
      <c r="M2" s="425"/>
      <c r="N2" s="425"/>
      <c r="O2" s="425"/>
      <c r="P2" s="425"/>
      <c r="Q2" s="425"/>
      <c r="R2" s="425"/>
      <c r="S2" s="425"/>
      <c r="T2" s="425"/>
      <c r="U2" s="425"/>
      <c r="V2" s="426"/>
      <c r="W2" s="74"/>
      <c r="X2" s="73"/>
      <c r="Y2" s="73"/>
      <c r="Z2" s="73"/>
      <c r="AA2" s="73"/>
      <c r="AB2" s="73"/>
      <c r="AC2" s="73"/>
      <c r="AD2" s="73"/>
      <c r="AE2" s="73"/>
      <c r="AF2" s="73"/>
      <c r="AG2" s="75"/>
    </row>
    <row r="3" spans="1:33" ht="33.75" customHeight="1" thickBot="1">
      <c r="A3" s="73"/>
      <c r="B3" s="427"/>
      <c r="C3" s="428"/>
      <c r="D3" s="428"/>
      <c r="E3" s="428"/>
      <c r="F3" s="428"/>
      <c r="G3" s="428"/>
      <c r="H3" s="428"/>
      <c r="I3" s="428"/>
      <c r="J3" s="428"/>
      <c r="K3" s="428"/>
      <c r="L3" s="428"/>
      <c r="M3" s="428"/>
      <c r="N3" s="428"/>
      <c r="O3" s="428"/>
      <c r="P3" s="428"/>
      <c r="Q3" s="428"/>
      <c r="R3" s="428"/>
      <c r="S3" s="428"/>
      <c r="T3" s="428"/>
      <c r="U3" s="428"/>
      <c r="V3" s="429"/>
      <c r="W3" s="74"/>
      <c r="X3" s="73"/>
      <c r="Y3" s="73"/>
      <c r="Z3" s="73"/>
      <c r="AA3" s="73"/>
      <c r="AB3" s="73"/>
      <c r="AC3" s="73"/>
      <c r="AD3" s="73"/>
      <c r="AE3" s="73"/>
      <c r="AF3" s="73"/>
      <c r="AG3" s="75"/>
    </row>
    <row r="4" spans="1:33" s="158" customFormat="1" ht="30.6" customHeight="1">
      <c r="A4" s="218"/>
      <c r="B4" s="430" t="s">
        <v>0</v>
      </c>
      <c r="C4" s="431"/>
      <c r="D4" s="431"/>
      <c r="E4" s="432"/>
      <c r="F4" s="433"/>
      <c r="G4" s="434"/>
      <c r="H4" s="434"/>
      <c r="I4" s="434"/>
      <c r="J4" s="434"/>
      <c r="K4" s="434"/>
      <c r="L4" s="434"/>
      <c r="M4" s="435"/>
      <c r="N4" s="219" t="s">
        <v>618</v>
      </c>
      <c r="O4" s="433" t="s">
        <v>576</v>
      </c>
      <c r="P4" s="434"/>
      <c r="Q4" s="434"/>
      <c r="R4" s="434"/>
      <c r="S4" s="434"/>
      <c r="T4" s="434"/>
      <c r="U4" s="434"/>
      <c r="V4" s="440"/>
      <c r="W4" s="220"/>
      <c r="X4" s="218"/>
      <c r="Y4" s="218"/>
      <c r="Z4" s="218"/>
      <c r="AA4" s="218"/>
      <c r="AB4" s="218"/>
      <c r="AC4" s="218"/>
      <c r="AD4" s="218"/>
      <c r="AE4" s="218"/>
      <c r="AF4" s="218"/>
      <c r="AG4" s="221"/>
    </row>
    <row r="5" spans="1:33" s="158" customFormat="1" ht="30.6" customHeight="1">
      <c r="A5" s="218"/>
      <c r="B5" s="436" t="s">
        <v>1</v>
      </c>
      <c r="C5" s="437"/>
      <c r="D5" s="437"/>
      <c r="E5" s="438"/>
      <c r="F5" s="439"/>
      <c r="G5" s="437"/>
      <c r="H5" s="437"/>
      <c r="I5" s="437"/>
      <c r="J5" s="437"/>
      <c r="K5" s="437"/>
      <c r="L5" s="437"/>
      <c r="M5" s="438"/>
      <c r="N5" s="222" t="s">
        <v>2</v>
      </c>
      <c r="O5" s="439" t="s">
        <v>574</v>
      </c>
      <c r="P5" s="437"/>
      <c r="Q5" s="437"/>
      <c r="R5" s="437"/>
      <c r="S5" s="437"/>
      <c r="T5" s="437"/>
      <c r="U5" s="437"/>
      <c r="V5" s="441"/>
      <c r="W5" s="220"/>
      <c r="X5" s="218"/>
      <c r="Y5" s="218"/>
      <c r="Z5" s="218"/>
      <c r="AA5" s="218"/>
      <c r="AB5" s="218"/>
      <c r="AC5" s="218"/>
      <c r="AD5" s="218"/>
      <c r="AE5" s="218"/>
      <c r="AF5" s="218"/>
      <c r="AG5" s="221"/>
    </row>
    <row r="6" spans="1:33" s="158" customFormat="1" ht="30.6" customHeight="1">
      <c r="A6" s="218"/>
      <c r="B6" s="436" t="s">
        <v>3</v>
      </c>
      <c r="C6" s="437"/>
      <c r="D6" s="437"/>
      <c r="E6" s="438"/>
      <c r="F6" s="439"/>
      <c r="G6" s="437"/>
      <c r="H6" s="437"/>
      <c r="I6" s="437"/>
      <c r="J6" s="437"/>
      <c r="K6" s="437"/>
      <c r="L6" s="437"/>
      <c r="M6" s="438"/>
      <c r="N6" s="222" t="s">
        <v>4</v>
      </c>
      <c r="O6" s="442" t="s">
        <v>575</v>
      </c>
      <c r="P6" s="443"/>
      <c r="Q6" s="443"/>
      <c r="R6" s="443"/>
      <c r="S6" s="443"/>
      <c r="T6" s="443"/>
      <c r="U6" s="443"/>
      <c r="V6" s="444"/>
      <c r="W6" s="220"/>
      <c r="X6" s="218"/>
      <c r="Y6" s="218"/>
      <c r="Z6" s="218"/>
      <c r="AA6" s="218"/>
      <c r="AB6" s="218"/>
      <c r="AC6" s="218"/>
      <c r="AD6" s="218"/>
      <c r="AE6" s="218"/>
      <c r="AF6" s="218"/>
      <c r="AG6" s="221"/>
    </row>
    <row r="7" spans="1:33" s="158" customFormat="1" ht="30.6" customHeight="1">
      <c r="A7" s="218"/>
      <c r="B7" s="436" t="s">
        <v>5</v>
      </c>
      <c r="C7" s="437"/>
      <c r="D7" s="437"/>
      <c r="E7" s="438"/>
      <c r="F7" s="464"/>
      <c r="G7" s="465"/>
      <c r="H7" s="465"/>
      <c r="I7" s="465"/>
      <c r="J7" s="465"/>
      <c r="K7" s="465"/>
      <c r="L7" s="465"/>
      <c r="M7" s="466"/>
      <c r="N7" s="222" t="s">
        <v>6</v>
      </c>
      <c r="O7" s="211"/>
      <c r="P7" s="211"/>
      <c r="Q7" s="211"/>
      <c r="R7" s="211"/>
      <c r="S7" s="211"/>
      <c r="T7" s="211"/>
      <c r="U7" s="211"/>
      <c r="V7" s="223"/>
      <c r="W7" s="220"/>
      <c r="X7" s="218"/>
      <c r="Y7" s="218"/>
      <c r="Z7" s="218"/>
      <c r="AA7" s="218"/>
      <c r="AB7" s="218"/>
      <c r="AC7" s="218"/>
      <c r="AD7" s="218"/>
      <c r="AE7" s="218"/>
      <c r="AF7" s="218"/>
      <c r="AG7" s="221"/>
    </row>
    <row r="8" spans="1:33" s="158" customFormat="1" ht="110.45" customHeight="1" thickBot="1">
      <c r="A8" s="218"/>
      <c r="B8" s="467" t="s">
        <v>7</v>
      </c>
      <c r="C8" s="468"/>
      <c r="D8" s="468"/>
      <c r="E8" s="469"/>
      <c r="F8" s="470" t="s">
        <v>615</v>
      </c>
      <c r="G8" s="468"/>
      <c r="H8" s="468"/>
      <c r="I8" s="468"/>
      <c r="J8" s="468"/>
      <c r="K8" s="468"/>
      <c r="L8" s="468"/>
      <c r="M8" s="468"/>
      <c r="N8" s="468"/>
      <c r="O8" s="468"/>
      <c r="P8" s="468"/>
      <c r="Q8" s="468"/>
      <c r="R8" s="468"/>
      <c r="S8" s="468"/>
      <c r="T8" s="468"/>
      <c r="U8" s="468"/>
      <c r="V8" s="471"/>
      <c r="W8" s="220"/>
      <c r="X8" s="218"/>
      <c r="Y8" s="218"/>
      <c r="Z8" s="218"/>
      <c r="AA8" s="218"/>
      <c r="AB8" s="218"/>
      <c r="AC8" s="218"/>
      <c r="AD8" s="218"/>
      <c r="AE8" s="218"/>
      <c r="AF8" s="218"/>
      <c r="AG8" s="221"/>
    </row>
    <row r="9" spans="1:33" ht="19.5" customHeight="1">
      <c r="A9" s="73"/>
      <c r="B9" s="356"/>
      <c r="C9" s="357"/>
      <c r="D9" s="357"/>
      <c r="E9" s="357"/>
      <c r="F9" s="357"/>
      <c r="G9" s="357"/>
      <c r="H9" s="357"/>
      <c r="I9" s="357"/>
      <c r="J9" s="357"/>
      <c r="K9" s="357"/>
      <c r="L9" s="357"/>
      <c r="M9" s="357"/>
      <c r="N9" s="357"/>
      <c r="O9" s="357"/>
      <c r="P9" s="357"/>
      <c r="Q9" s="357"/>
      <c r="R9" s="357"/>
      <c r="S9" s="357"/>
      <c r="T9" s="357"/>
      <c r="U9" s="357"/>
      <c r="V9" s="358"/>
      <c r="W9" s="74"/>
      <c r="X9" s="73"/>
      <c r="Y9" s="73"/>
      <c r="Z9" s="73"/>
      <c r="AA9" s="73"/>
      <c r="AB9" s="73"/>
      <c r="AC9" s="73"/>
      <c r="AD9" s="73"/>
      <c r="AE9" s="73"/>
      <c r="AF9" s="73"/>
      <c r="AG9" s="75"/>
    </row>
    <row r="10" spans="1:33" s="135" customFormat="1" ht="112.5" customHeight="1">
      <c r="A10" s="132"/>
      <c r="B10" s="455" t="s">
        <v>610</v>
      </c>
      <c r="C10" s="456"/>
      <c r="D10" s="456"/>
      <c r="E10" s="456"/>
      <c r="F10" s="456"/>
      <c r="G10" s="456"/>
      <c r="H10" s="456"/>
      <c r="I10" s="456"/>
      <c r="J10" s="456"/>
      <c r="K10" s="456"/>
      <c r="L10" s="456"/>
      <c r="M10" s="456"/>
      <c r="N10" s="456"/>
      <c r="O10" s="456"/>
      <c r="P10" s="456"/>
      <c r="Q10" s="456"/>
      <c r="R10" s="456"/>
      <c r="S10" s="456"/>
      <c r="T10" s="456"/>
      <c r="U10" s="456"/>
      <c r="V10" s="456"/>
      <c r="W10" s="133"/>
      <c r="X10" s="132"/>
      <c r="Y10" s="132"/>
      <c r="Z10" s="132"/>
      <c r="AA10" s="132"/>
      <c r="AB10" s="132"/>
      <c r="AC10" s="132"/>
      <c r="AD10" s="132"/>
      <c r="AE10" s="132"/>
      <c r="AF10" s="132"/>
      <c r="AG10" s="134"/>
    </row>
    <row r="11" spans="1:33" ht="2.4500000000000002" customHeight="1" thickBot="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row>
    <row r="12" spans="1:33" ht="36.6" customHeight="1" thickBot="1">
      <c r="A12" s="75"/>
      <c r="B12" s="457" t="s">
        <v>8</v>
      </c>
      <c r="C12" s="458"/>
      <c r="D12" s="458"/>
      <c r="E12" s="458"/>
      <c r="F12" s="458"/>
      <c r="G12" s="458"/>
      <c r="H12" s="458"/>
      <c r="I12" s="458"/>
      <c r="J12" s="458"/>
      <c r="K12" s="458"/>
      <c r="L12" s="458"/>
      <c r="M12" s="458"/>
      <c r="N12" s="458"/>
      <c r="O12" s="458"/>
      <c r="P12" s="458"/>
      <c r="Q12" s="458"/>
      <c r="R12" s="459"/>
      <c r="S12" s="460" t="s">
        <v>9</v>
      </c>
      <c r="T12" s="461"/>
      <c r="U12" s="462"/>
      <c r="V12" s="463"/>
      <c r="W12" s="75"/>
      <c r="X12" s="75"/>
      <c r="Y12" s="75"/>
      <c r="Z12" s="75"/>
      <c r="AA12" s="75"/>
      <c r="AB12" s="75"/>
      <c r="AC12" s="75"/>
      <c r="AD12" s="75"/>
      <c r="AE12" s="75"/>
      <c r="AF12" s="75"/>
      <c r="AG12" s="75"/>
    </row>
    <row r="13" spans="1:33" ht="163.5" customHeight="1" thickBot="1">
      <c r="A13" s="134"/>
      <c r="B13" s="359" t="s">
        <v>10</v>
      </c>
      <c r="C13" s="360"/>
      <c r="D13" s="360"/>
      <c r="E13" s="361"/>
      <c r="F13" s="377" t="s">
        <v>606</v>
      </c>
      <c r="G13" s="378"/>
      <c r="H13" s="383" t="s">
        <v>11</v>
      </c>
      <c r="I13" s="383" t="s">
        <v>12</v>
      </c>
      <c r="J13" s="403" t="s">
        <v>589</v>
      </c>
      <c r="K13" s="404"/>
      <c r="L13" s="386" t="s">
        <v>605</v>
      </c>
      <c r="M13" s="362" t="s">
        <v>13</v>
      </c>
      <c r="N13" s="363"/>
      <c r="O13" s="363"/>
      <c r="P13" s="363"/>
      <c r="Q13" s="364"/>
      <c r="R13" s="365" t="s">
        <v>14</v>
      </c>
      <c r="S13" s="368" t="s">
        <v>15</v>
      </c>
      <c r="T13" s="371" t="s">
        <v>16</v>
      </c>
      <c r="U13" s="398" t="s">
        <v>17</v>
      </c>
      <c r="V13" s="401" t="s">
        <v>18</v>
      </c>
      <c r="W13" s="75"/>
      <c r="X13" s="75"/>
      <c r="Y13" s="75"/>
      <c r="Z13" s="75"/>
      <c r="AA13" s="75"/>
      <c r="AB13" s="75"/>
      <c r="AC13" s="75"/>
      <c r="AD13" s="75"/>
      <c r="AE13" s="75"/>
      <c r="AF13" s="75"/>
      <c r="AG13" s="75"/>
    </row>
    <row r="14" spans="1:33" ht="46.5" customHeight="1" thickBot="1">
      <c r="A14" s="134"/>
      <c r="B14" s="386" t="s">
        <v>607</v>
      </c>
      <c r="C14" s="390" t="s">
        <v>590</v>
      </c>
      <c r="D14" s="391"/>
      <c r="E14" s="392"/>
      <c r="F14" s="379"/>
      <c r="G14" s="380"/>
      <c r="H14" s="384"/>
      <c r="I14" s="384"/>
      <c r="J14" s="406" t="s">
        <v>591</v>
      </c>
      <c r="K14" s="408" t="s">
        <v>592</v>
      </c>
      <c r="L14" s="405"/>
      <c r="M14" s="410" t="s">
        <v>19</v>
      </c>
      <c r="N14" s="412" t="s">
        <v>20</v>
      </c>
      <c r="O14" s="412" t="s">
        <v>21</v>
      </c>
      <c r="P14" s="412" t="s">
        <v>22</v>
      </c>
      <c r="Q14" s="388" t="s">
        <v>23</v>
      </c>
      <c r="R14" s="366"/>
      <c r="S14" s="369"/>
      <c r="T14" s="372"/>
      <c r="U14" s="399"/>
      <c r="V14" s="402"/>
      <c r="W14" s="75"/>
      <c r="X14" s="75"/>
      <c r="Y14" s="75"/>
      <c r="Z14" s="75"/>
      <c r="AA14" s="75"/>
      <c r="AB14" s="75"/>
      <c r="AC14" s="75"/>
      <c r="AD14" s="75"/>
      <c r="AE14" s="75"/>
      <c r="AF14" s="75"/>
      <c r="AG14" s="75"/>
    </row>
    <row r="15" spans="1:33" ht="70.5" customHeight="1" thickBot="1">
      <c r="A15" s="136"/>
      <c r="B15" s="387"/>
      <c r="C15" s="196" t="s">
        <v>24</v>
      </c>
      <c r="D15" s="196" t="s">
        <v>25</v>
      </c>
      <c r="E15" s="196" t="s">
        <v>26</v>
      </c>
      <c r="F15" s="381"/>
      <c r="G15" s="382"/>
      <c r="H15" s="385"/>
      <c r="I15" s="385"/>
      <c r="J15" s="407"/>
      <c r="K15" s="409"/>
      <c r="L15" s="387"/>
      <c r="M15" s="411"/>
      <c r="N15" s="413"/>
      <c r="O15" s="413"/>
      <c r="P15" s="413"/>
      <c r="Q15" s="389"/>
      <c r="R15" s="366"/>
      <c r="S15" s="370"/>
      <c r="T15" s="373"/>
      <c r="U15" s="400"/>
      <c r="V15" s="400"/>
      <c r="W15" s="80"/>
      <c r="X15" s="79"/>
      <c r="Y15" s="79"/>
      <c r="Z15" s="79"/>
      <c r="AA15" s="79"/>
      <c r="AB15" s="79"/>
      <c r="AC15" s="79"/>
      <c r="AD15" s="79"/>
      <c r="AE15" s="79"/>
      <c r="AF15" s="79"/>
      <c r="AG15" s="75"/>
    </row>
    <row r="16" spans="1:33" ht="90" hidden="1" customHeight="1">
      <c r="A16" s="132"/>
      <c r="B16" s="374" t="s">
        <v>27</v>
      </c>
      <c r="C16" s="137"/>
      <c r="D16" s="137"/>
      <c r="E16" s="393" t="s">
        <v>28</v>
      </c>
      <c r="F16" s="394" t="s">
        <v>29</v>
      </c>
      <c r="G16" s="395" t="s">
        <v>30</v>
      </c>
      <c r="H16" s="396" t="s">
        <v>31</v>
      </c>
      <c r="I16" s="397">
        <v>0.35</v>
      </c>
      <c r="J16" s="138"/>
      <c r="K16" s="138"/>
      <c r="L16" s="139" t="s">
        <v>32</v>
      </c>
      <c r="M16" s="140" t="s">
        <v>593</v>
      </c>
      <c r="N16" s="141" t="s">
        <v>594</v>
      </c>
      <c r="O16" s="141" t="s">
        <v>595</v>
      </c>
      <c r="P16" s="141" t="s">
        <v>596</v>
      </c>
      <c r="Q16" s="141" t="s">
        <v>597</v>
      </c>
      <c r="R16" s="367"/>
      <c r="S16" s="142" t="s">
        <v>33</v>
      </c>
      <c r="T16" s="143">
        <v>5</v>
      </c>
      <c r="U16" s="335">
        <f>AVERAGE(T16:T18)</f>
        <v>4.666666666666667</v>
      </c>
      <c r="V16" s="338"/>
      <c r="W16" s="74"/>
      <c r="X16" s="73"/>
      <c r="Y16" s="73"/>
      <c r="Z16" s="73"/>
      <c r="AA16" s="73"/>
      <c r="AB16" s="73"/>
      <c r="AC16" s="73"/>
      <c r="AD16" s="73"/>
      <c r="AE16" s="73"/>
      <c r="AF16" s="73"/>
      <c r="AG16" s="81"/>
    </row>
    <row r="17" spans="1:33" ht="102.75" hidden="1" customHeight="1">
      <c r="A17" s="132"/>
      <c r="B17" s="375"/>
      <c r="C17" s="144"/>
      <c r="D17" s="144"/>
      <c r="E17" s="336"/>
      <c r="F17" s="336"/>
      <c r="G17" s="336"/>
      <c r="H17" s="336"/>
      <c r="I17" s="336"/>
      <c r="J17" s="145"/>
      <c r="K17" s="145"/>
      <c r="L17" s="146" t="s">
        <v>34</v>
      </c>
      <c r="M17" s="147" t="s">
        <v>598</v>
      </c>
      <c r="N17" s="147" t="s">
        <v>599</v>
      </c>
      <c r="O17" s="147" t="s">
        <v>600</v>
      </c>
      <c r="P17" s="147" t="s">
        <v>601</v>
      </c>
      <c r="Q17" s="147" t="s">
        <v>602</v>
      </c>
      <c r="R17" s="148"/>
      <c r="S17" s="149" t="s">
        <v>35</v>
      </c>
      <c r="T17" s="150">
        <v>4</v>
      </c>
      <c r="U17" s="336"/>
      <c r="V17" s="339"/>
      <c r="W17" s="74"/>
      <c r="X17" s="73"/>
      <c r="Y17" s="73"/>
      <c r="Z17" s="73"/>
      <c r="AA17" s="73"/>
      <c r="AB17" s="73"/>
      <c r="AC17" s="73"/>
      <c r="AD17" s="73"/>
      <c r="AE17" s="73"/>
      <c r="AF17" s="73"/>
      <c r="AG17" s="77"/>
    </row>
    <row r="18" spans="1:33" ht="18" hidden="1" customHeight="1">
      <c r="A18" s="132"/>
      <c r="B18" s="376"/>
      <c r="C18" s="144"/>
      <c r="D18" s="144"/>
      <c r="E18" s="336"/>
      <c r="F18" s="337"/>
      <c r="G18" s="337"/>
      <c r="H18" s="337"/>
      <c r="I18" s="337"/>
      <c r="J18" s="145"/>
      <c r="K18" s="145"/>
      <c r="L18" s="145" t="s">
        <v>36</v>
      </c>
      <c r="M18" s="151" t="s">
        <v>37</v>
      </c>
      <c r="N18" s="151" t="s">
        <v>38</v>
      </c>
      <c r="O18" s="151" t="s">
        <v>39</v>
      </c>
      <c r="P18" s="151" t="s">
        <v>40</v>
      </c>
      <c r="Q18" s="151" t="s">
        <v>41</v>
      </c>
      <c r="R18" s="152"/>
      <c r="S18" s="153" t="s">
        <v>42</v>
      </c>
      <c r="T18" s="154">
        <v>5</v>
      </c>
      <c r="U18" s="337"/>
      <c r="V18" s="340"/>
      <c r="W18" s="74"/>
      <c r="X18" s="73"/>
      <c r="Y18" s="73"/>
      <c r="Z18" s="73"/>
      <c r="AA18" s="73"/>
      <c r="AB18" s="73"/>
      <c r="AC18" s="73"/>
      <c r="AD18" s="73"/>
      <c r="AE18" s="73"/>
      <c r="AF18" s="73"/>
      <c r="AG18" s="77"/>
    </row>
    <row r="19" spans="1:33" ht="282.60000000000002" customHeight="1">
      <c r="A19" s="73"/>
      <c r="B19" s="445" t="s">
        <v>608</v>
      </c>
      <c r="C19" s="448" t="s">
        <v>604</v>
      </c>
      <c r="D19" s="451" t="s">
        <v>44</v>
      </c>
      <c r="E19" s="452" t="s">
        <v>45</v>
      </c>
      <c r="F19" s="507" t="s">
        <v>46</v>
      </c>
      <c r="G19" s="508"/>
      <c r="H19" s="512"/>
      <c r="I19" s="513">
        <v>0.05</v>
      </c>
      <c r="J19" s="414">
        <v>2</v>
      </c>
      <c r="K19" s="414" t="s">
        <v>47</v>
      </c>
      <c r="L19" s="198" t="s">
        <v>32</v>
      </c>
      <c r="M19" s="216" t="s">
        <v>48</v>
      </c>
      <c r="N19" s="225" t="s">
        <v>49</v>
      </c>
      <c r="O19" s="225" t="s">
        <v>50</v>
      </c>
      <c r="P19" s="225" t="s">
        <v>51</v>
      </c>
      <c r="Q19" s="225" t="s">
        <v>52</v>
      </c>
      <c r="R19" s="417" t="s">
        <v>53</v>
      </c>
      <c r="S19" s="418" t="s">
        <v>54</v>
      </c>
      <c r="T19" s="234"/>
      <c r="U19" s="341" t="e">
        <f>AVERAGE(T19:T21)</f>
        <v>#DIV/0!</v>
      </c>
      <c r="V19" s="344" t="e">
        <f>U19*I19</f>
        <v>#DIV/0!</v>
      </c>
      <c r="W19" s="74"/>
      <c r="X19" s="73"/>
      <c r="Y19" s="73"/>
      <c r="Z19" s="73"/>
      <c r="AA19" s="73"/>
      <c r="AB19" s="73"/>
      <c r="AC19" s="73"/>
      <c r="AD19" s="73"/>
      <c r="AE19" s="73"/>
      <c r="AF19" s="73"/>
      <c r="AG19" s="77"/>
    </row>
    <row r="20" spans="1:33" ht="243.6" customHeight="1">
      <c r="A20" s="73"/>
      <c r="B20" s="446"/>
      <c r="C20" s="449"/>
      <c r="D20" s="449"/>
      <c r="E20" s="453"/>
      <c r="F20" s="509"/>
      <c r="G20" s="475"/>
      <c r="H20" s="475"/>
      <c r="I20" s="415"/>
      <c r="J20" s="415"/>
      <c r="K20" s="415"/>
      <c r="L20" s="161" t="s">
        <v>34</v>
      </c>
      <c r="M20" s="224" t="s">
        <v>611</v>
      </c>
      <c r="N20" s="172" t="s">
        <v>55</v>
      </c>
      <c r="O20" s="172" t="s">
        <v>56</v>
      </c>
      <c r="P20" s="172" t="s">
        <v>57</v>
      </c>
      <c r="Q20" s="172" t="s">
        <v>58</v>
      </c>
      <c r="R20" s="415"/>
      <c r="S20" s="419"/>
      <c r="T20" s="235"/>
      <c r="U20" s="342"/>
      <c r="V20" s="345"/>
      <c r="W20" s="74"/>
      <c r="X20" s="73"/>
      <c r="Y20" s="73"/>
      <c r="Z20" s="73"/>
      <c r="AA20" s="73"/>
      <c r="AB20" s="73"/>
      <c r="AC20" s="73"/>
      <c r="AD20" s="73"/>
      <c r="AE20" s="73"/>
      <c r="AF20" s="73"/>
      <c r="AG20" s="77"/>
    </row>
    <row r="21" spans="1:33" ht="135" customHeight="1" thickBot="1">
      <c r="A21" s="73"/>
      <c r="B21" s="447"/>
      <c r="C21" s="450"/>
      <c r="D21" s="450"/>
      <c r="E21" s="454"/>
      <c r="F21" s="510"/>
      <c r="G21" s="511"/>
      <c r="H21" s="511"/>
      <c r="I21" s="416"/>
      <c r="J21" s="416"/>
      <c r="K21" s="416"/>
      <c r="L21" s="199" t="s">
        <v>36</v>
      </c>
      <c r="M21" s="217" t="s">
        <v>59</v>
      </c>
      <c r="N21" s="226" t="s">
        <v>60</v>
      </c>
      <c r="O21" s="226" t="s">
        <v>61</v>
      </c>
      <c r="P21" s="226" t="s">
        <v>62</v>
      </c>
      <c r="Q21" s="226" t="s">
        <v>63</v>
      </c>
      <c r="R21" s="416"/>
      <c r="S21" s="420"/>
      <c r="T21" s="236"/>
      <c r="U21" s="343"/>
      <c r="V21" s="346"/>
      <c r="W21" s="74"/>
      <c r="X21" s="73"/>
      <c r="Y21" s="73"/>
      <c r="Z21" s="73"/>
      <c r="AA21" s="73"/>
      <c r="AB21" s="73"/>
      <c r="AC21" s="73"/>
      <c r="AD21" s="73"/>
      <c r="AE21" s="73"/>
      <c r="AF21" s="73"/>
      <c r="AG21" s="77"/>
    </row>
    <row r="22" spans="1:33" ht="213.6" customHeight="1" thickBot="1">
      <c r="A22" s="73"/>
      <c r="B22" s="207"/>
      <c r="C22" s="482" t="s">
        <v>64</v>
      </c>
      <c r="D22" s="482" t="s">
        <v>65</v>
      </c>
      <c r="E22" s="472" t="s">
        <v>66</v>
      </c>
      <c r="F22" s="474" t="s">
        <v>67</v>
      </c>
      <c r="G22" s="475"/>
      <c r="H22" s="479"/>
      <c r="I22" s="481">
        <v>0.05</v>
      </c>
      <c r="J22" s="479">
        <v>10</v>
      </c>
      <c r="K22" s="479" t="s">
        <v>68</v>
      </c>
      <c r="L22" s="167" t="s">
        <v>32</v>
      </c>
      <c r="M22" s="169" t="s">
        <v>69</v>
      </c>
      <c r="N22" s="169" t="s">
        <v>70</v>
      </c>
      <c r="O22" s="169" t="s">
        <v>71</v>
      </c>
      <c r="P22" s="169" t="s">
        <v>72</v>
      </c>
      <c r="Q22" s="169" t="s">
        <v>73</v>
      </c>
      <c r="R22" s="331" t="s">
        <v>74</v>
      </c>
      <c r="S22" s="331" t="s">
        <v>75</v>
      </c>
      <c r="T22" s="237"/>
      <c r="U22" s="348" t="e">
        <f>AVERAGE(T22:T24)</f>
        <v>#DIV/0!</v>
      </c>
      <c r="V22" s="347" t="e">
        <f>U22*I22</f>
        <v>#DIV/0!</v>
      </c>
      <c r="W22" s="74"/>
      <c r="X22" s="73"/>
      <c r="Y22" s="73"/>
      <c r="Z22" s="73"/>
      <c r="AA22" s="73"/>
      <c r="AB22" s="73"/>
      <c r="AC22" s="73"/>
      <c r="AD22" s="73"/>
      <c r="AE22" s="73"/>
      <c r="AF22" s="73"/>
      <c r="AG22" s="77"/>
    </row>
    <row r="23" spans="1:33" ht="51.75" thickBot="1">
      <c r="A23" s="73"/>
      <c r="B23" s="207"/>
      <c r="C23" s="449"/>
      <c r="D23" s="449"/>
      <c r="E23" s="453"/>
      <c r="F23" s="456"/>
      <c r="G23" s="476"/>
      <c r="H23" s="480"/>
      <c r="I23" s="480"/>
      <c r="J23" s="480"/>
      <c r="K23" s="480"/>
      <c r="L23" s="161" t="s">
        <v>34</v>
      </c>
      <c r="M23" s="161" t="s">
        <v>76</v>
      </c>
      <c r="N23" s="161" t="s">
        <v>77</v>
      </c>
      <c r="O23" s="161" t="s">
        <v>78</v>
      </c>
      <c r="P23" s="161" t="s">
        <v>79</v>
      </c>
      <c r="Q23" s="161" t="s">
        <v>80</v>
      </c>
      <c r="R23" s="306"/>
      <c r="S23" s="306"/>
      <c r="T23" s="238"/>
      <c r="U23" s="312"/>
      <c r="V23" s="315"/>
      <c r="W23" s="74"/>
      <c r="X23" s="73"/>
      <c r="Y23" s="73"/>
      <c r="Z23" s="73"/>
      <c r="AA23" s="73"/>
      <c r="AB23" s="73"/>
      <c r="AC23" s="73"/>
      <c r="AD23" s="73"/>
      <c r="AE23" s="73"/>
      <c r="AF23" s="73"/>
      <c r="AG23" s="77"/>
    </row>
    <row r="24" spans="1:33" ht="89.45" customHeight="1" thickBot="1">
      <c r="A24" s="73"/>
      <c r="B24" s="207"/>
      <c r="C24" s="450"/>
      <c r="D24" s="450"/>
      <c r="E24" s="473"/>
      <c r="F24" s="477"/>
      <c r="G24" s="478"/>
      <c r="H24" s="413"/>
      <c r="I24" s="413"/>
      <c r="J24" s="413"/>
      <c r="K24" s="413"/>
      <c r="L24" s="163" t="s">
        <v>36</v>
      </c>
      <c r="M24" s="228" t="s">
        <v>81</v>
      </c>
      <c r="N24" s="228" t="s">
        <v>82</v>
      </c>
      <c r="O24" s="228" t="s">
        <v>83</v>
      </c>
      <c r="P24" s="228" t="s">
        <v>84</v>
      </c>
      <c r="Q24" s="228" t="s">
        <v>85</v>
      </c>
      <c r="R24" s="307"/>
      <c r="S24" s="307"/>
      <c r="T24" s="238"/>
      <c r="U24" s="313"/>
      <c r="V24" s="316"/>
      <c r="W24" s="74"/>
      <c r="X24" s="73"/>
      <c r="Y24" s="73"/>
      <c r="Z24" s="73"/>
      <c r="AA24" s="73"/>
      <c r="AB24" s="73"/>
      <c r="AC24" s="73"/>
      <c r="AD24" s="73"/>
      <c r="AE24" s="73"/>
      <c r="AF24" s="73"/>
      <c r="AG24" s="77"/>
    </row>
    <row r="25" spans="1:33" ht="135" customHeight="1" thickBot="1">
      <c r="A25" s="73"/>
      <c r="B25" s="207"/>
      <c r="C25" s="490" t="s">
        <v>86</v>
      </c>
      <c r="D25" s="451" t="s">
        <v>87</v>
      </c>
      <c r="E25" s="483" t="s">
        <v>88</v>
      </c>
      <c r="F25" s="515" t="s">
        <v>549</v>
      </c>
      <c r="G25" s="506"/>
      <c r="H25" s="484"/>
      <c r="I25" s="516">
        <v>0.05</v>
      </c>
      <c r="J25" s="484">
        <v>10</v>
      </c>
      <c r="K25" s="517" t="s">
        <v>550</v>
      </c>
      <c r="L25" s="159" t="s">
        <v>32</v>
      </c>
      <c r="M25" s="251" t="s">
        <v>551</v>
      </c>
      <c r="N25" s="251" t="s">
        <v>552</v>
      </c>
      <c r="O25" s="251" t="s">
        <v>553</v>
      </c>
      <c r="P25" s="251" t="s">
        <v>554</v>
      </c>
      <c r="Q25" s="251" t="s">
        <v>555</v>
      </c>
      <c r="R25" s="305" t="s">
        <v>557</v>
      </c>
      <c r="S25" s="308" t="s">
        <v>557</v>
      </c>
      <c r="T25" s="238"/>
      <c r="U25" s="311" t="e">
        <f>AVERAGE(T25:T27)</f>
        <v>#DIV/0!</v>
      </c>
      <c r="V25" s="314" t="e">
        <f>U25*I25</f>
        <v>#DIV/0!</v>
      </c>
      <c r="W25" s="74"/>
      <c r="X25" s="73"/>
      <c r="Y25" s="73"/>
      <c r="Z25" s="73"/>
      <c r="AA25" s="73"/>
      <c r="AB25" s="73"/>
      <c r="AC25" s="73"/>
      <c r="AD25" s="73"/>
      <c r="AE25" s="73"/>
      <c r="AF25" s="73"/>
      <c r="AG25" s="77"/>
    </row>
    <row r="26" spans="1:33" ht="246.6" customHeight="1" thickBot="1">
      <c r="A26" s="73"/>
      <c r="B26" s="207"/>
      <c r="C26" s="491"/>
      <c r="D26" s="449"/>
      <c r="E26" s="453"/>
      <c r="F26" s="456"/>
      <c r="G26" s="476"/>
      <c r="H26" s="480"/>
      <c r="I26" s="480"/>
      <c r="J26" s="480"/>
      <c r="K26" s="480"/>
      <c r="L26" s="161" t="s">
        <v>34</v>
      </c>
      <c r="M26" s="252" t="s">
        <v>89</v>
      </c>
      <c r="N26" s="252" t="s">
        <v>577</v>
      </c>
      <c r="O26" s="252" t="s">
        <v>578</v>
      </c>
      <c r="P26" s="252" t="s">
        <v>579</v>
      </c>
      <c r="Q26" s="252" t="s">
        <v>580</v>
      </c>
      <c r="R26" s="306"/>
      <c r="S26" s="309"/>
      <c r="T26" s="238"/>
      <c r="U26" s="312"/>
      <c r="V26" s="315"/>
      <c r="W26" s="74"/>
      <c r="X26" s="73"/>
      <c r="Y26" s="73"/>
      <c r="Z26" s="73"/>
      <c r="AA26" s="73"/>
      <c r="AB26" s="73"/>
      <c r="AC26" s="73"/>
      <c r="AD26" s="73"/>
      <c r="AE26" s="73"/>
      <c r="AF26" s="73"/>
      <c r="AG26" s="77"/>
    </row>
    <row r="27" spans="1:33" ht="75.95" customHeight="1" thickBot="1">
      <c r="A27" s="73"/>
      <c r="B27" s="208"/>
      <c r="C27" s="492"/>
      <c r="D27" s="450"/>
      <c r="E27" s="473"/>
      <c r="F27" s="477"/>
      <c r="G27" s="478"/>
      <c r="H27" s="413"/>
      <c r="I27" s="413"/>
      <c r="J27" s="413"/>
      <c r="K27" s="413"/>
      <c r="L27" s="163" t="s">
        <v>36</v>
      </c>
      <c r="M27" s="227" t="s">
        <v>556</v>
      </c>
      <c r="N27" s="206" t="s">
        <v>90</v>
      </c>
      <c r="O27" s="206" t="s">
        <v>91</v>
      </c>
      <c r="P27" s="206" t="s">
        <v>92</v>
      </c>
      <c r="Q27" s="206" t="s">
        <v>93</v>
      </c>
      <c r="R27" s="307"/>
      <c r="S27" s="310"/>
      <c r="T27" s="238"/>
      <c r="U27" s="313"/>
      <c r="V27" s="316"/>
      <c r="W27" s="74"/>
      <c r="X27" s="73"/>
      <c r="Y27" s="73"/>
      <c r="Z27" s="73"/>
      <c r="AA27" s="73"/>
      <c r="AB27" s="73"/>
      <c r="AC27" s="73"/>
      <c r="AD27" s="73"/>
      <c r="AE27" s="73"/>
      <c r="AF27" s="73"/>
      <c r="AG27" s="77"/>
    </row>
    <row r="28" spans="1:33" ht="24.75" hidden="1" customHeight="1">
      <c r="A28" s="73"/>
      <c r="B28" s="493"/>
      <c r="C28" s="205"/>
      <c r="D28" s="205"/>
      <c r="E28" s="495"/>
      <c r="F28" s="504"/>
      <c r="G28" s="476"/>
      <c r="H28" s="496"/>
      <c r="I28" s="518"/>
      <c r="J28" s="519"/>
      <c r="K28" s="496"/>
      <c r="L28" s="167"/>
      <c r="M28" s="168" t="s">
        <v>94</v>
      </c>
      <c r="N28" s="169"/>
      <c r="O28" s="169" t="s">
        <v>95</v>
      </c>
      <c r="P28" s="169"/>
      <c r="Q28" s="169"/>
      <c r="R28" s="190"/>
      <c r="S28" s="191"/>
      <c r="T28" s="239"/>
      <c r="U28" s="349"/>
      <c r="V28" s="350"/>
      <c r="W28" s="74"/>
      <c r="X28" s="73"/>
      <c r="Y28" s="73"/>
      <c r="Z28" s="73"/>
      <c r="AA28" s="73"/>
      <c r="AB28" s="73"/>
      <c r="AC28" s="73"/>
      <c r="AD28" s="73"/>
      <c r="AE28" s="73"/>
      <c r="AF28" s="73"/>
      <c r="AG28" s="77"/>
    </row>
    <row r="29" spans="1:33" ht="24.75" hidden="1" customHeight="1">
      <c r="A29" s="73"/>
      <c r="B29" s="494"/>
      <c r="C29" s="170"/>
      <c r="D29" s="170"/>
      <c r="E29" s="480"/>
      <c r="F29" s="501"/>
      <c r="G29" s="476"/>
      <c r="H29" s="480"/>
      <c r="I29" s="480"/>
      <c r="J29" s="480"/>
      <c r="K29" s="480"/>
      <c r="L29" s="161"/>
      <c r="M29" s="171"/>
      <c r="N29" s="171"/>
      <c r="O29" s="171" t="s">
        <v>96</v>
      </c>
      <c r="P29" s="171"/>
      <c r="Q29" s="171"/>
      <c r="R29" s="192"/>
      <c r="S29" s="193"/>
      <c r="T29" s="240"/>
      <c r="U29" s="306"/>
      <c r="V29" s="315"/>
      <c r="W29" s="74"/>
      <c r="X29" s="73"/>
      <c r="Y29" s="73"/>
      <c r="Z29" s="73"/>
      <c r="AA29" s="73"/>
      <c r="AB29" s="73"/>
      <c r="AC29" s="73"/>
      <c r="AD29" s="73"/>
      <c r="AE29" s="73"/>
      <c r="AF29" s="73"/>
      <c r="AG29" s="77"/>
    </row>
    <row r="30" spans="1:33" ht="24.75" hidden="1" customHeight="1">
      <c r="A30" s="73"/>
      <c r="B30" s="494"/>
      <c r="C30" s="170"/>
      <c r="D30" s="170"/>
      <c r="E30" s="480"/>
      <c r="F30" s="502"/>
      <c r="G30" s="503"/>
      <c r="H30" s="489"/>
      <c r="I30" s="489"/>
      <c r="J30" s="489"/>
      <c r="K30" s="489"/>
      <c r="L30" s="161"/>
      <c r="M30" s="172" t="s">
        <v>97</v>
      </c>
      <c r="N30" s="172"/>
      <c r="O30" s="172" t="s">
        <v>98</v>
      </c>
      <c r="P30" s="172"/>
      <c r="Q30" s="172"/>
      <c r="R30" s="192"/>
      <c r="S30" s="193"/>
      <c r="T30" s="240"/>
      <c r="U30" s="324"/>
      <c r="V30" s="326"/>
      <c r="W30" s="74"/>
      <c r="X30" s="73"/>
      <c r="Y30" s="73"/>
      <c r="Z30" s="73"/>
      <c r="AA30" s="73"/>
      <c r="AB30" s="73"/>
      <c r="AC30" s="73"/>
      <c r="AD30" s="73"/>
      <c r="AE30" s="73"/>
      <c r="AF30" s="73"/>
      <c r="AG30" s="77"/>
    </row>
    <row r="31" spans="1:33" ht="24.75" hidden="1" customHeight="1">
      <c r="A31" s="73"/>
      <c r="B31" s="494"/>
      <c r="C31" s="170"/>
      <c r="D31" s="170"/>
      <c r="E31" s="480"/>
      <c r="F31" s="499"/>
      <c r="G31" s="500"/>
      <c r="H31" s="485"/>
      <c r="I31" s="486"/>
      <c r="J31" s="487"/>
      <c r="K31" s="485"/>
      <c r="L31" s="173"/>
      <c r="M31" s="174"/>
      <c r="N31" s="175"/>
      <c r="O31" s="175"/>
      <c r="P31" s="175"/>
      <c r="Q31" s="175"/>
      <c r="R31" s="192"/>
      <c r="S31" s="193"/>
      <c r="T31" s="241"/>
      <c r="U31" s="332"/>
      <c r="V31" s="333"/>
      <c r="W31" s="74"/>
      <c r="X31" s="73"/>
      <c r="Y31" s="73"/>
      <c r="Z31" s="73"/>
      <c r="AA31" s="73"/>
      <c r="AB31" s="73"/>
      <c r="AC31" s="73"/>
      <c r="AD31" s="73"/>
      <c r="AE31" s="73"/>
      <c r="AF31" s="73"/>
      <c r="AG31" s="77"/>
    </row>
    <row r="32" spans="1:33" ht="24.75" hidden="1" customHeight="1">
      <c r="A32" s="73"/>
      <c r="B32" s="494"/>
      <c r="C32" s="170"/>
      <c r="D32" s="170"/>
      <c r="E32" s="480"/>
      <c r="F32" s="501"/>
      <c r="G32" s="476"/>
      <c r="H32" s="480"/>
      <c r="I32" s="480"/>
      <c r="J32" s="480"/>
      <c r="K32" s="480"/>
      <c r="L32" s="161"/>
      <c r="M32" s="171" t="s">
        <v>99</v>
      </c>
      <c r="N32" s="171"/>
      <c r="O32" s="171"/>
      <c r="P32" s="171"/>
      <c r="Q32" s="171"/>
      <c r="R32" s="192"/>
      <c r="S32" s="193"/>
      <c r="T32" s="240"/>
      <c r="U32" s="306"/>
      <c r="V32" s="315"/>
      <c r="W32" s="74"/>
      <c r="X32" s="73"/>
      <c r="Y32" s="73"/>
      <c r="Z32" s="73"/>
      <c r="AA32" s="73"/>
      <c r="AB32" s="73"/>
      <c r="AC32" s="73"/>
      <c r="AD32" s="73"/>
      <c r="AE32" s="73"/>
      <c r="AF32" s="73"/>
      <c r="AG32" s="77"/>
    </row>
    <row r="33" spans="1:33" ht="24.75" hidden="1" customHeight="1">
      <c r="A33" s="73"/>
      <c r="B33" s="494"/>
      <c r="C33" s="170"/>
      <c r="D33" s="170"/>
      <c r="E33" s="480"/>
      <c r="F33" s="502"/>
      <c r="G33" s="503"/>
      <c r="H33" s="489"/>
      <c r="I33" s="489"/>
      <c r="J33" s="489"/>
      <c r="K33" s="489"/>
      <c r="L33" s="161"/>
      <c r="M33" s="172"/>
      <c r="N33" s="172"/>
      <c r="O33" s="172"/>
      <c r="P33" s="172"/>
      <c r="Q33" s="172"/>
      <c r="R33" s="192"/>
      <c r="S33" s="193"/>
      <c r="T33" s="240"/>
      <c r="U33" s="324"/>
      <c r="V33" s="326"/>
      <c r="W33" s="74"/>
      <c r="X33" s="73"/>
      <c r="Y33" s="73"/>
      <c r="Z33" s="73"/>
      <c r="AA33" s="73"/>
      <c r="AB33" s="73"/>
      <c r="AC33" s="73"/>
      <c r="AD33" s="73"/>
      <c r="AE33" s="73"/>
      <c r="AF33" s="73"/>
      <c r="AG33" s="77"/>
    </row>
    <row r="34" spans="1:33" ht="24.75" hidden="1" customHeight="1">
      <c r="A34" s="73"/>
      <c r="B34" s="494"/>
      <c r="C34" s="170"/>
      <c r="D34" s="170"/>
      <c r="E34" s="480"/>
      <c r="F34" s="499"/>
      <c r="G34" s="500"/>
      <c r="H34" s="485"/>
      <c r="I34" s="486"/>
      <c r="J34" s="487"/>
      <c r="K34" s="485"/>
      <c r="L34" s="173"/>
      <c r="M34" s="174" t="s">
        <v>100</v>
      </c>
      <c r="N34" s="175"/>
      <c r="O34" s="175"/>
      <c r="P34" s="175"/>
      <c r="Q34" s="175"/>
      <c r="R34" s="192"/>
      <c r="S34" s="193"/>
      <c r="T34" s="241"/>
      <c r="U34" s="332"/>
      <c r="V34" s="333"/>
      <c r="W34" s="74"/>
      <c r="X34" s="73"/>
      <c r="Y34" s="73"/>
      <c r="Z34" s="73"/>
      <c r="AA34" s="73"/>
      <c r="AB34" s="73"/>
      <c r="AC34" s="73"/>
      <c r="AD34" s="73"/>
      <c r="AE34" s="73"/>
      <c r="AF34" s="73"/>
      <c r="AG34" s="77"/>
    </row>
    <row r="35" spans="1:33" ht="24.75" hidden="1" customHeight="1">
      <c r="A35" s="73"/>
      <c r="B35" s="494"/>
      <c r="C35" s="170"/>
      <c r="D35" s="170"/>
      <c r="E35" s="480"/>
      <c r="F35" s="501"/>
      <c r="G35" s="476"/>
      <c r="H35" s="480"/>
      <c r="I35" s="480"/>
      <c r="J35" s="480"/>
      <c r="K35" s="480"/>
      <c r="L35" s="161"/>
      <c r="M35" s="171"/>
      <c r="N35" s="171"/>
      <c r="O35" s="171"/>
      <c r="P35" s="171"/>
      <c r="Q35" s="171"/>
      <c r="R35" s="192"/>
      <c r="S35" s="193"/>
      <c r="T35" s="240"/>
      <c r="U35" s="306"/>
      <c r="V35" s="315"/>
      <c r="W35" s="74"/>
      <c r="X35" s="73"/>
      <c r="Y35" s="73"/>
      <c r="Z35" s="73"/>
      <c r="AA35" s="73"/>
      <c r="AB35" s="73"/>
      <c r="AC35" s="73"/>
      <c r="AD35" s="73"/>
      <c r="AE35" s="73"/>
      <c r="AF35" s="73"/>
      <c r="AG35" s="77"/>
    </row>
    <row r="36" spans="1:33" ht="24.75" hidden="1" customHeight="1">
      <c r="A36" s="73"/>
      <c r="B36" s="494"/>
      <c r="C36" s="170"/>
      <c r="D36" s="170"/>
      <c r="E36" s="480"/>
      <c r="F36" s="501"/>
      <c r="G36" s="476"/>
      <c r="H36" s="480"/>
      <c r="I36" s="415"/>
      <c r="J36" s="480"/>
      <c r="K36" s="480"/>
      <c r="L36" s="176"/>
      <c r="M36" s="177"/>
      <c r="N36" s="177"/>
      <c r="O36" s="177"/>
      <c r="P36" s="177"/>
      <c r="Q36" s="177"/>
      <c r="R36" s="194"/>
      <c r="S36" s="195"/>
      <c r="T36" s="242"/>
      <c r="U36" s="352"/>
      <c r="V36" s="334"/>
      <c r="W36" s="74"/>
      <c r="X36" s="73"/>
      <c r="Y36" s="73"/>
      <c r="Z36" s="73"/>
      <c r="AA36" s="73"/>
      <c r="AB36" s="73"/>
      <c r="AC36" s="73"/>
      <c r="AD36" s="73"/>
      <c r="AE36" s="73"/>
      <c r="AF36" s="73"/>
      <c r="AG36" s="77"/>
    </row>
    <row r="37" spans="1:33" ht="63" customHeight="1">
      <c r="A37" s="73"/>
      <c r="B37" s="688" t="s">
        <v>101</v>
      </c>
      <c r="C37" s="493" t="s">
        <v>102</v>
      </c>
      <c r="D37" s="484" t="s">
        <v>65</v>
      </c>
      <c r="E37" s="498" t="s">
        <v>103</v>
      </c>
      <c r="F37" s="505" t="s">
        <v>104</v>
      </c>
      <c r="G37" s="506"/>
      <c r="H37" s="497"/>
      <c r="I37" s="488">
        <v>0.03</v>
      </c>
      <c r="J37" s="484">
        <v>1</v>
      </c>
      <c r="K37" s="514" t="s">
        <v>105</v>
      </c>
      <c r="L37" s="159" t="s">
        <v>32</v>
      </c>
      <c r="M37" s="166" t="s">
        <v>106</v>
      </c>
      <c r="N37" s="166" t="s">
        <v>107</v>
      </c>
      <c r="O37" s="166" t="s">
        <v>108</v>
      </c>
      <c r="P37" s="166" t="s">
        <v>109</v>
      </c>
      <c r="Q37" s="166" t="s">
        <v>110</v>
      </c>
      <c r="R37" s="305" t="s">
        <v>111</v>
      </c>
      <c r="S37" s="305" t="s">
        <v>112</v>
      </c>
      <c r="T37" s="243"/>
      <c r="U37" s="328" t="e">
        <f>AVERAGE(T37:T39)</f>
        <v>#DIV/0!</v>
      </c>
      <c r="V37" s="329" t="e">
        <f>U37*I37</f>
        <v>#DIV/0!</v>
      </c>
      <c r="W37" s="74"/>
      <c r="X37" s="73"/>
      <c r="Y37" s="73"/>
      <c r="Z37" s="73"/>
      <c r="AA37" s="73"/>
      <c r="AB37" s="73"/>
      <c r="AC37" s="73"/>
      <c r="AD37" s="73"/>
      <c r="AE37" s="73"/>
      <c r="AF37" s="73"/>
      <c r="AG37" s="77"/>
    </row>
    <row r="38" spans="1:33" ht="30.75" customHeight="1">
      <c r="A38" s="73"/>
      <c r="B38" s="689"/>
      <c r="C38" s="494"/>
      <c r="D38" s="480"/>
      <c r="E38" s="480"/>
      <c r="F38" s="501"/>
      <c r="G38" s="476"/>
      <c r="H38" s="480"/>
      <c r="I38" s="480"/>
      <c r="J38" s="480"/>
      <c r="K38" s="480"/>
      <c r="L38" s="161" t="s">
        <v>34</v>
      </c>
      <c r="M38" s="178"/>
      <c r="N38" s="178"/>
      <c r="O38" s="178"/>
      <c r="P38" s="178"/>
      <c r="Q38" s="178"/>
      <c r="R38" s="306"/>
      <c r="S38" s="306"/>
      <c r="T38" s="288"/>
      <c r="U38" s="306"/>
      <c r="V38" s="315"/>
      <c r="W38" s="74"/>
      <c r="X38" s="73"/>
      <c r="Y38" s="73"/>
      <c r="Z38" s="73"/>
      <c r="AA38" s="73"/>
      <c r="AB38" s="73"/>
      <c r="AC38" s="73"/>
      <c r="AD38" s="73"/>
      <c r="AE38" s="73"/>
      <c r="AF38" s="73"/>
      <c r="AG38" s="77"/>
    </row>
    <row r="39" spans="1:33" ht="152.44999999999999" customHeight="1" thickBot="1">
      <c r="A39" s="73"/>
      <c r="B39" s="689"/>
      <c r="C39" s="411"/>
      <c r="D39" s="489"/>
      <c r="E39" s="413"/>
      <c r="F39" s="502"/>
      <c r="G39" s="503"/>
      <c r="H39" s="489"/>
      <c r="I39" s="489"/>
      <c r="J39" s="489"/>
      <c r="K39" s="489"/>
      <c r="L39" s="163" t="s">
        <v>36</v>
      </c>
      <c r="M39" s="228" t="s">
        <v>113</v>
      </c>
      <c r="N39" s="228" t="s">
        <v>114</v>
      </c>
      <c r="O39" s="228" t="s">
        <v>115</v>
      </c>
      <c r="P39" s="228" t="s">
        <v>116</v>
      </c>
      <c r="Q39" s="228" t="s">
        <v>117</v>
      </c>
      <c r="R39" s="324"/>
      <c r="S39" s="324"/>
      <c r="T39" s="245"/>
      <c r="U39" s="324"/>
      <c r="V39" s="326"/>
      <c r="W39" s="74"/>
      <c r="X39" s="73"/>
      <c r="Y39" s="73"/>
      <c r="Z39" s="73"/>
      <c r="AA39" s="73"/>
      <c r="AB39" s="73"/>
      <c r="AC39" s="73"/>
      <c r="AD39" s="73"/>
      <c r="AE39" s="73"/>
      <c r="AF39" s="73"/>
      <c r="AG39" s="77"/>
    </row>
    <row r="40" spans="1:33" ht="63.6" customHeight="1">
      <c r="A40" s="73"/>
      <c r="B40" s="689"/>
      <c r="C40" s="698" t="s">
        <v>102</v>
      </c>
      <c r="D40" s="484" t="s">
        <v>65</v>
      </c>
      <c r="E40" s="498" t="s">
        <v>103</v>
      </c>
      <c r="F40" s="505" t="s">
        <v>118</v>
      </c>
      <c r="G40" s="506"/>
      <c r="H40" s="497"/>
      <c r="I40" s="488">
        <v>0.03</v>
      </c>
      <c r="J40" s="484">
        <v>1</v>
      </c>
      <c r="K40" s="514" t="s">
        <v>119</v>
      </c>
      <c r="L40" s="159" t="s">
        <v>32</v>
      </c>
      <c r="M40" s="166" t="s">
        <v>120</v>
      </c>
      <c r="N40" s="166" t="s">
        <v>121</v>
      </c>
      <c r="O40" s="166" t="s">
        <v>122</v>
      </c>
      <c r="P40" s="166" t="s">
        <v>123</v>
      </c>
      <c r="Q40" s="166" t="s">
        <v>124</v>
      </c>
      <c r="R40" s="305" t="s">
        <v>125</v>
      </c>
      <c r="S40" s="305" t="s">
        <v>126</v>
      </c>
      <c r="T40" s="243"/>
      <c r="U40" s="328" t="e">
        <f>AVERAGE(T40:T42)</f>
        <v>#DIV/0!</v>
      </c>
      <c r="V40" s="329" t="e">
        <f>U40*I40</f>
        <v>#DIV/0!</v>
      </c>
      <c r="W40" s="74"/>
      <c r="X40" s="73"/>
      <c r="Y40" s="73"/>
      <c r="Z40" s="73"/>
      <c r="AA40" s="73"/>
      <c r="AB40" s="73"/>
      <c r="AC40" s="73"/>
      <c r="AD40" s="73"/>
      <c r="AE40" s="73"/>
      <c r="AF40" s="73"/>
      <c r="AG40" s="77"/>
    </row>
    <row r="41" spans="1:33" ht="24.75" customHeight="1">
      <c r="A41" s="73"/>
      <c r="B41" s="689"/>
      <c r="C41" s="476"/>
      <c r="D41" s="480"/>
      <c r="E41" s="480"/>
      <c r="F41" s="501"/>
      <c r="G41" s="476"/>
      <c r="H41" s="480"/>
      <c r="I41" s="480"/>
      <c r="J41" s="480"/>
      <c r="K41" s="480"/>
      <c r="L41" s="161" t="s">
        <v>34</v>
      </c>
      <c r="M41" s="178"/>
      <c r="N41" s="178"/>
      <c r="O41" s="178"/>
      <c r="P41" s="178"/>
      <c r="Q41" s="178"/>
      <c r="R41" s="306"/>
      <c r="S41" s="306"/>
      <c r="T41" s="288"/>
      <c r="U41" s="306"/>
      <c r="V41" s="315"/>
      <c r="W41" s="74"/>
      <c r="X41" s="73"/>
      <c r="Y41" s="73"/>
      <c r="Z41" s="73"/>
      <c r="AA41" s="73"/>
      <c r="AB41" s="73"/>
      <c r="AC41" s="73"/>
      <c r="AD41" s="73"/>
      <c r="AE41" s="73"/>
      <c r="AF41" s="73"/>
      <c r="AG41" s="77"/>
    </row>
    <row r="42" spans="1:33" ht="156" customHeight="1" thickBot="1">
      <c r="A42" s="73"/>
      <c r="B42" s="689"/>
      <c r="C42" s="475"/>
      <c r="D42" s="415"/>
      <c r="E42" s="415"/>
      <c r="F42" s="419"/>
      <c r="G42" s="475"/>
      <c r="H42" s="415"/>
      <c r="I42" s="415"/>
      <c r="J42" s="415"/>
      <c r="K42" s="415"/>
      <c r="L42" s="197" t="s">
        <v>36</v>
      </c>
      <c r="M42" s="229" t="s">
        <v>127</v>
      </c>
      <c r="N42" s="229" t="s">
        <v>128</v>
      </c>
      <c r="O42" s="229" t="s">
        <v>129</v>
      </c>
      <c r="P42" s="229" t="s">
        <v>130</v>
      </c>
      <c r="Q42" s="229" t="s">
        <v>131</v>
      </c>
      <c r="R42" s="352"/>
      <c r="S42" s="352"/>
      <c r="T42" s="246"/>
      <c r="U42" s="352"/>
      <c r="V42" s="334"/>
      <c r="W42" s="74"/>
      <c r="X42" s="73"/>
      <c r="Y42" s="73"/>
      <c r="Z42" s="73"/>
      <c r="AA42" s="73"/>
      <c r="AB42" s="73"/>
      <c r="AC42" s="73"/>
      <c r="AD42" s="73"/>
      <c r="AE42" s="73"/>
      <c r="AF42" s="73"/>
      <c r="AG42" s="77"/>
    </row>
    <row r="43" spans="1:33" ht="84.6" customHeight="1">
      <c r="A43" s="73"/>
      <c r="B43" s="637"/>
      <c r="C43" s="693" t="s">
        <v>102</v>
      </c>
      <c r="D43" s="696" t="s">
        <v>65</v>
      </c>
      <c r="E43" s="685" t="s">
        <v>103</v>
      </c>
      <c r="F43" s="690" t="s">
        <v>132</v>
      </c>
      <c r="G43" s="508"/>
      <c r="H43" s="691"/>
      <c r="I43" s="692">
        <v>0.04</v>
      </c>
      <c r="J43" s="414" t="s">
        <v>133</v>
      </c>
      <c r="K43" s="681" t="s">
        <v>134</v>
      </c>
      <c r="L43" s="198" t="s">
        <v>32</v>
      </c>
      <c r="M43" s="230" t="s">
        <v>135</v>
      </c>
      <c r="N43" s="230" t="s">
        <v>136</v>
      </c>
      <c r="O43" s="230" t="s">
        <v>137</v>
      </c>
      <c r="P43" s="230" t="s">
        <v>138</v>
      </c>
      <c r="Q43" s="230" t="s">
        <v>139</v>
      </c>
      <c r="R43" s="351" t="s">
        <v>140</v>
      </c>
      <c r="S43" s="351" t="s">
        <v>141</v>
      </c>
      <c r="T43" s="247"/>
      <c r="U43" s="354" t="e">
        <f>AVERAGE(T43:T45)</f>
        <v>#DIV/0!</v>
      </c>
      <c r="V43" s="355" t="e">
        <f>U43*I43</f>
        <v>#DIV/0!</v>
      </c>
      <c r="W43" s="74"/>
      <c r="X43" s="73"/>
      <c r="Y43" s="73"/>
      <c r="Z43" s="73"/>
      <c r="AA43" s="73"/>
      <c r="AB43" s="73"/>
      <c r="AC43" s="73"/>
      <c r="AD43" s="73"/>
      <c r="AE43" s="73"/>
      <c r="AF43" s="73"/>
      <c r="AG43" s="77"/>
    </row>
    <row r="44" spans="1:33" ht="80.45" customHeight="1">
      <c r="A44" s="73"/>
      <c r="B44" s="637"/>
      <c r="C44" s="694"/>
      <c r="D44" s="629"/>
      <c r="E44" s="686"/>
      <c r="F44" s="419"/>
      <c r="G44" s="475"/>
      <c r="H44" s="415"/>
      <c r="I44" s="415"/>
      <c r="J44" s="415"/>
      <c r="K44" s="415"/>
      <c r="L44" s="161" t="s">
        <v>34</v>
      </c>
      <c r="M44" s="175" t="s">
        <v>142</v>
      </c>
      <c r="N44" s="175" t="s">
        <v>143</v>
      </c>
      <c r="O44" s="175" t="s">
        <v>144</v>
      </c>
      <c r="P44" s="175" t="s">
        <v>145</v>
      </c>
      <c r="Q44" s="175" t="s">
        <v>146</v>
      </c>
      <c r="R44" s="352"/>
      <c r="S44" s="352"/>
      <c r="T44" s="246"/>
      <c r="U44" s="352"/>
      <c r="V44" s="345"/>
      <c r="W44" s="74"/>
      <c r="X44" s="73"/>
      <c r="Y44" s="73"/>
      <c r="Z44" s="73"/>
      <c r="AA44" s="73"/>
      <c r="AB44" s="73"/>
      <c r="AC44" s="73"/>
      <c r="AD44" s="73"/>
      <c r="AE44" s="73"/>
      <c r="AF44" s="73"/>
      <c r="AG44" s="77"/>
    </row>
    <row r="45" spans="1:33" ht="120" customHeight="1" thickBot="1">
      <c r="A45" s="73"/>
      <c r="B45" s="637"/>
      <c r="C45" s="695"/>
      <c r="D45" s="697"/>
      <c r="E45" s="687"/>
      <c r="F45" s="420"/>
      <c r="G45" s="511"/>
      <c r="H45" s="416"/>
      <c r="I45" s="416"/>
      <c r="J45" s="416"/>
      <c r="K45" s="416"/>
      <c r="L45" s="199" t="s">
        <v>36</v>
      </c>
      <c r="M45" s="231" t="s">
        <v>147</v>
      </c>
      <c r="N45" s="231" t="s">
        <v>148</v>
      </c>
      <c r="O45" s="231" t="s">
        <v>149</v>
      </c>
      <c r="P45" s="231" t="s">
        <v>149</v>
      </c>
      <c r="Q45" s="231" t="s">
        <v>150</v>
      </c>
      <c r="R45" s="353"/>
      <c r="S45" s="353"/>
      <c r="T45" s="248"/>
      <c r="U45" s="353"/>
      <c r="V45" s="346"/>
      <c r="W45" s="74"/>
      <c r="X45" s="73"/>
      <c r="Y45" s="73"/>
      <c r="Z45" s="73"/>
      <c r="AA45" s="73"/>
      <c r="AB45" s="73"/>
      <c r="AC45" s="73"/>
      <c r="AD45" s="73"/>
      <c r="AE45" s="73"/>
      <c r="AF45" s="73"/>
      <c r="AG45" s="77"/>
    </row>
    <row r="46" spans="1:33" ht="409.5" customHeight="1">
      <c r="A46" s="73"/>
      <c r="B46" s="637"/>
      <c r="C46" s="699" t="s">
        <v>151</v>
      </c>
      <c r="D46" s="451" t="s">
        <v>44</v>
      </c>
      <c r="E46" s="472" t="s">
        <v>45</v>
      </c>
      <c r="F46" s="682" t="s">
        <v>152</v>
      </c>
      <c r="G46" s="475"/>
      <c r="H46" s="683"/>
      <c r="I46" s="626">
        <v>0.05</v>
      </c>
      <c r="J46" s="684">
        <v>1</v>
      </c>
      <c r="K46" s="479" t="s">
        <v>153</v>
      </c>
      <c r="L46" s="167" t="s">
        <v>32</v>
      </c>
      <c r="M46" s="232" t="s">
        <v>154</v>
      </c>
      <c r="N46" s="232" t="s">
        <v>155</v>
      </c>
      <c r="O46" s="232" t="s">
        <v>156</v>
      </c>
      <c r="P46" s="232" t="s">
        <v>157</v>
      </c>
      <c r="Q46" s="232" t="s">
        <v>158</v>
      </c>
      <c r="R46" s="317" t="s">
        <v>159</v>
      </c>
      <c r="S46" s="320" t="s">
        <v>159</v>
      </c>
      <c r="T46" s="249"/>
      <c r="U46" s="323" t="e">
        <f>AVERAGE(T46:T48)</f>
        <v>#DIV/0!</v>
      </c>
      <c r="V46" s="325" t="e">
        <f>U46*I46</f>
        <v>#DIV/0!</v>
      </c>
      <c r="W46" s="74"/>
      <c r="X46" s="73"/>
      <c r="Y46" s="73"/>
      <c r="Z46" s="73"/>
      <c r="AA46" s="73"/>
      <c r="AB46" s="73"/>
      <c r="AC46" s="73"/>
      <c r="AD46" s="73"/>
      <c r="AE46" s="73"/>
      <c r="AF46" s="73"/>
      <c r="AG46" s="77"/>
    </row>
    <row r="47" spans="1:33" ht="348.95" customHeight="1">
      <c r="A47" s="73"/>
      <c r="B47" s="637"/>
      <c r="C47" s="449"/>
      <c r="D47" s="449"/>
      <c r="E47" s="453"/>
      <c r="F47" s="543"/>
      <c r="G47" s="476"/>
      <c r="H47" s="480"/>
      <c r="I47" s="480"/>
      <c r="J47" s="480"/>
      <c r="K47" s="480"/>
      <c r="L47" s="161" t="s">
        <v>34</v>
      </c>
      <c r="M47" s="233" t="s">
        <v>160</v>
      </c>
      <c r="N47" s="233" t="s">
        <v>161</v>
      </c>
      <c r="O47" s="233" t="s">
        <v>162</v>
      </c>
      <c r="P47" s="233" t="s">
        <v>163</v>
      </c>
      <c r="Q47" s="233" t="s">
        <v>164</v>
      </c>
      <c r="R47" s="318"/>
      <c r="S47" s="321"/>
      <c r="T47" s="244"/>
      <c r="U47" s="306"/>
      <c r="V47" s="315"/>
      <c r="W47" s="74"/>
      <c r="X47" s="73"/>
      <c r="Y47" s="73"/>
      <c r="Z47" s="73"/>
      <c r="AA47" s="73"/>
      <c r="AB47" s="73"/>
      <c r="AC47" s="73"/>
      <c r="AD47" s="73"/>
      <c r="AE47" s="73"/>
      <c r="AF47" s="73"/>
      <c r="AG47" s="77"/>
    </row>
    <row r="48" spans="1:33" ht="282.95" customHeight="1" thickBot="1">
      <c r="A48" s="73"/>
      <c r="B48" s="544"/>
      <c r="C48" s="450"/>
      <c r="D48" s="450"/>
      <c r="E48" s="473"/>
      <c r="F48" s="544"/>
      <c r="G48" s="478"/>
      <c r="H48" s="489"/>
      <c r="I48" s="489"/>
      <c r="J48" s="413"/>
      <c r="K48" s="413"/>
      <c r="L48" s="176" t="s">
        <v>36</v>
      </c>
      <c r="M48" s="233" t="s">
        <v>165</v>
      </c>
      <c r="N48" s="233" t="s">
        <v>166</v>
      </c>
      <c r="O48" s="233" t="s">
        <v>167</v>
      </c>
      <c r="P48" s="233" t="s">
        <v>168</v>
      </c>
      <c r="Q48" s="233" t="s">
        <v>169</v>
      </c>
      <c r="R48" s="319"/>
      <c r="S48" s="322"/>
      <c r="T48" s="244"/>
      <c r="U48" s="324"/>
      <c r="V48" s="326"/>
      <c r="W48" s="74"/>
      <c r="X48" s="73"/>
      <c r="Y48" s="73"/>
      <c r="Z48" s="73"/>
      <c r="AA48" s="73"/>
      <c r="AB48" s="73"/>
      <c r="AC48" s="73"/>
      <c r="AD48" s="73"/>
      <c r="AE48" s="73"/>
      <c r="AF48" s="73"/>
      <c r="AG48" s="77"/>
    </row>
    <row r="49" spans="1:33" ht="123.6" customHeight="1">
      <c r="A49" s="73"/>
      <c r="B49" s="688" t="s">
        <v>170</v>
      </c>
      <c r="C49" s="680" t="s">
        <v>102</v>
      </c>
      <c r="D49" s="479" t="s">
        <v>171</v>
      </c>
      <c r="E49" s="484" t="s">
        <v>172</v>
      </c>
      <c r="F49" s="505" t="s">
        <v>173</v>
      </c>
      <c r="G49" s="506"/>
      <c r="H49" s="484"/>
      <c r="I49" s="679">
        <v>3.7499999999999999E-2</v>
      </c>
      <c r="J49" s="484">
        <v>1</v>
      </c>
      <c r="K49" s="484" t="s">
        <v>174</v>
      </c>
      <c r="L49" s="159" t="s">
        <v>32</v>
      </c>
      <c r="M49" s="160" t="s">
        <v>175</v>
      </c>
      <c r="N49" s="160" t="s">
        <v>176</v>
      </c>
      <c r="O49" s="160" t="s">
        <v>177</v>
      </c>
      <c r="P49" s="160" t="s">
        <v>178</v>
      </c>
      <c r="Q49" s="160" t="s">
        <v>179</v>
      </c>
      <c r="R49" s="327" t="s">
        <v>180</v>
      </c>
      <c r="S49" s="327" t="s">
        <v>181</v>
      </c>
      <c r="T49" s="249"/>
      <c r="U49" s="328" t="e">
        <f>AVERAGE(T49:T51)</f>
        <v>#DIV/0!</v>
      </c>
      <c r="V49" s="329" t="e">
        <f>U49*I49</f>
        <v>#DIV/0!</v>
      </c>
      <c r="W49" s="74"/>
      <c r="X49" s="73"/>
      <c r="Y49" s="73"/>
      <c r="Z49" s="73"/>
      <c r="AA49" s="73"/>
      <c r="AB49" s="73"/>
      <c r="AC49" s="73"/>
      <c r="AD49" s="73"/>
      <c r="AE49" s="73"/>
      <c r="AF49" s="73"/>
      <c r="AG49" s="77"/>
    </row>
    <row r="50" spans="1:33" ht="121.5" customHeight="1">
      <c r="A50" s="73"/>
      <c r="B50" s="689"/>
      <c r="C50" s="494"/>
      <c r="D50" s="480"/>
      <c r="E50" s="480"/>
      <c r="F50" s="501"/>
      <c r="G50" s="476"/>
      <c r="H50" s="480"/>
      <c r="I50" s="480"/>
      <c r="J50" s="480"/>
      <c r="K50" s="480"/>
      <c r="L50" s="161" t="s">
        <v>34</v>
      </c>
      <c r="M50" s="161" t="s">
        <v>182</v>
      </c>
      <c r="N50" s="161" t="s">
        <v>183</v>
      </c>
      <c r="O50" s="161" t="s">
        <v>184</v>
      </c>
      <c r="P50" s="161" t="s">
        <v>185</v>
      </c>
      <c r="Q50" s="161" t="s">
        <v>186</v>
      </c>
      <c r="R50" s="315"/>
      <c r="S50" s="315"/>
      <c r="T50" s="244"/>
      <c r="U50" s="306"/>
      <c r="V50" s="315"/>
      <c r="W50" s="74"/>
      <c r="X50" s="73"/>
      <c r="Y50" s="73"/>
      <c r="Z50" s="73"/>
      <c r="AA50" s="73"/>
      <c r="AB50" s="73"/>
      <c r="AC50" s="73"/>
      <c r="AD50" s="73"/>
      <c r="AE50" s="73"/>
      <c r="AF50" s="73"/>
      <c r="AG50" s="77"/>
    </row>
    <row r="51" spans="1:33" ht="122.45" customHeight="1" thickBot="1">
      <c r="A51" s="73"/>
      <c r="B51" s="689"/>
      <c r="C51" s="494"/>
      <c r="D51" s="480"/>
      <c r="E51" s="480"/>
      <c r="F51" s="502"/>
      <c r="G51" s="503"/>
      <c r="H51" s="489"/>
      <c r="I51" s="489"/>
      <c r="J51" s="489"/>
      <c r="K51" s="489"/>
      <c r="L51" s="176" t="s">
        <v>36</v>
      </c>
      <c r="M51" s="162" t="s">
        <v>187</v>
      </c>
      <c r="N51" s="162" t="s">
        <v>188</v>
      </c>
      <c r="O51" s="162" t="s">
        <v>189</v>
      </c>
      <c r="P51" s="162" t="s">
        <v>190</v>
      </c>
      <c r="Q51" s="162" t="s">
        <v>191</v>
      </c>
      <c r="R51" s="326"/>
      <c r="S51" s="326"/>
      <c r="T51" s="250"/>
      <c r="U51" s="324"/>
      <c r="V51" s="326"/>
      <c r="W51" s="74"/>
      <c r="X51" s="73"/>
      <c r="Y51" s="73"/>
      <c r="Z51" s="73"/>
      <c r="AA51" s="73"/>
      <c r="AB51" s="73"/>
      <c r="AC51" s="73"/>
      <c r="AD51" s="73"/>
      <c r="AE51" s="73"/>
      <c r="AF51" s="73"/>
      <c r="AG51" s="77"/>
    </row>
    <row r="52" spans="1:33" ht="291" customHeight="1">
      <c r="A52" s="73"/>
      <c r="B52" s="689"/>
      <c r="C52" s="493" t="s">
        <v>102</v>
      </c>
      <c r="D52" s="484" t="s">
        <v>171</v>
      </c>
      <c r="E52" s="484" t="s">
        <v>172</v>
      </c>
      <c r="F52" s="673" t="s">
        <v>192</v>
      </c>
      <c r="G52" s="500"/>
      <c r="H52" s="674"/>
      <c r="I52" s="675">
        <v>3.7499999999999999E-2</v>
      </c>
      <c r="J52" s="674">
        <v>5</v>
      </c>
      <c r="K52" s="674" t="s">
        <v>193</v>
      </c>
      <c r="L52" s="159" t="s">
        <v>32</v>
      </c>
      <c r="M52" s="253" t="s">
        <v>194</v>
      </c>
      <c r="N52" s="175" t="s">
        <v>195</v>
      </c>
      <c r="O52" s="175" t="s">
        <v>196</v>
      </c>
      <c r="P52" s="175" t="s">
        <v>197</v>
      </c>
      <c r="Q52" s="175" t="s">
        <v>198</v>
      </c>
      <c r="R52" s="330" t="s">
        <v>199</v>
      </c>
      <c r="S52" s="330" t="s">
        <v>200</v>
      </c>
      <c r="T52" s="243"/>
      <c r="U52" s="328" t="e">
        <f>AVERAGE(T52:T54)</f>
        <v>#DIV/0!</v>
      </c>
      <c r="V52" s="329" t="e">
        <f>U52*I52</f>
        <v>#DIV/0!</v>
      </c>
      <c r="W52" s="74"/>
      <c r="X52" s="73"/>
      <c r="Y52" s="73"/>
      <c r="Z52" s="73"/>
      <c r="AA52" s="73"/>
      <c r="AB52" s="73"/>
      <c r="AC52" s="73"/>
      <c r="AD52" s="73"/>
      <c r="AE52" s="73"/>
      <c r="AF52" s="73"/>
      <c r="AG52" s="77"/>
    </row>
    <row r="53" spans="1:33" ht="78.95" customHeight="1">
      <c r="A53" s="73"/>
      <c r="B53" s="689"/>
      <c r="C53" s="494"/>
      <c r="D53" s="480"/>
      <c r="E53" s="480"/>
      <c r="F53" s="501"/>
      <c r="G53" s="476"/>
      <c r="H53" s="480"/>
      <c r="I53" s="480"/>
      <c r="J53" s="480"/>
      <c r="K53" s="480"/>
      <c r="L53" s="161" t="s">
        <v>34</v>
      </c>
      <c r="M53" s="162" t="s">
        <v>201</v>
      </c>
      <c r="N53" s="161" t="s">
        <v>202</v>
      </c>
      <c r="O53" s="161" t="s">
        <v>203</v>
      </c>
      <c r="P53" s="161" t="s">
        <v>204</v>
      </c>
      <c r="Q53" s="161" t="s">
        <v>179</v>
      </c>
      <c r="R53" s="315"/>
      <c r="S53" s="315"/>
      <c r="T53" s="244"/>
      <c r="U53" s="306"/>
      <c r="V53" s="315"/>
      <c r="W53" s="74"/>
      <c r="X53" s="73"/>
      <c r="Y53" s="73"/>
      <c r="Z53" s="73"/>
      <c r="AA53" s="73"/>
      <c r="AB53" s="73"/>
      <c r="AC53" s="73"/>
      <c r="AD53" s="73"/>
      <c r="AE53" s="73"/>
      <c r="AF53" s="73"/>
      <c r="AG53" s="77"/>
    </row>
    <row r="54" spans="1:33" ht="77.45" customHeight="1">
      <c r="A54" s="73"/>
      <c r="B54" s="689"/>
      <c r="C54" s="494"/>
      <c r="D54" s="480"/>
      <c r="E54" s="480"/>
      <c r="F54" s="502"/>
      <c r="G54" s="503"/>
      <c r="H54" s="489"/>
      <c r="I54" s="489"/>
      <c r="J54" s="489"/>
      <c r="K54" s="489"/>
      <c r="L54" s="176" t="s">
        <v>36</v>
      </c>
      <c r="M54" s="162" t="s">
        <v>205</v>
      </c>
      <c r="N54" s="162" t="s">
        <v>206</v>
      </c>
      <c r="O54" s="162" t="s">
        <v>207</v>
      </c>
      <c r="P54" s="162" t="s">
        <v>208</v>
      </c>
      <c r="Q54" s="162" t="s">
        <v>209</v>
      </c>
      <c r="R54" s="326"/>
      <c r="S54" s="326"/>
      <c r="T54" s="250"/>
      <c r="U54" s="324"/>
      <c r="V54" s="326"/>
      <c r="W54" s="74"/>
      <c r="X54" s="73"/>
      <c r="Y54" s="73"/>
      <c r="Z54" s="73"/>
      <c r="AA54" s="73"/>
      <c r="AB54" s="73"/>
      <c r="AC54" s="73"/>
      <c r="AD54" s="73"/>
      <c r="AE54" s="73"/>
      <c r="AF54" s="73"/>
      <c r="AG54" s="77"/>
    </row>
    <row r="55" spans="1:33" ht="60" customHeight="1">
      <c r="A55" s="73"/>
      <c r="B55" s="689"/>
      <c r="C55" s="493" t="s">
        <v>102</v>
      </c>
      <c r="D55" s="484" t="s">
        <v>171</v>
      </c>
      <c r="E55" s="484" t="s">
        <v>172</v>
      </c>
      <c r="F55" s="673" t="s">
        <v>210</v>
      </c>
      <c r="G55" s="500"/>
      <c r="H55" s="674"/>
      <c r="I55" s="675">
        <v>3.7499999999999999E-2</v>
      </c>
      <c r="J55" s="674">
        <v>2</v>
      </c>
      <c r="K55" s="674" t="s">
        <v>558</v>
      </c>
      <c r="L55" s="159" t="s">
        <v>32</v>
      </c>
      <c r="M55" s="162" t="s">
        <v>559</v>
      </c>
      <c r="N55" s="162" t="s">
        <v>560</v>
      </c>
      <c r="O55" s="162" t="s">
        <v>561</v>
      </c>
      <c r="P55" s="162" t="s">
        <v>562</v>
      </c>
      <c r="Q55" s="162" t="s">
        <v>563</v>
      </c>
      <c r="R55" s="330" t="s">
        <v>211</v>
      </c>
      <c r="S55" s="330" t="s">
        <v>212</v>
      </c>
      <c r="T55" s="243"/>
      <c r="U55" s="328" t="e">
        <f>AVERAGE(T55:T57)</f>
        <v>#DIV/0!</v>
      </c>
      <c r="V55" s="329" t="e">
        <f>U55*I55</f>
        <v>#DIV/0!</v>
      </c>
      <c r="W55" s="74"/>
      <c r="X55" s="73"/>
      <c r="Y55" s="73"/>
      <c r="Z55" s="73"/>
      <c r="AA55" s="73"/>
      <c r="AB55" s="73"/>
      <c r="AC55" s="73"/>
      <c r="AD55" s="73"/>
      <c r="AE55" s="73"/>
      <c r="AF55" s="73"/>
      <c r="AG55" s="77"/>
    </row>
    <row r="56" spans="1:33" ht="81.95" customHeight="1">
      <c r="A56" s="73"/>
      <c r="B56" s="689"/>
      <c r="C56" s="494"/>
      <c r="D56" s="480"/>
      <c r="E56" s="480"/>
      <c r="F56" s="501"/>
      <c r="G56" s="476"/>
      <c r="H56" s="480"/>
      <c r="I56" s="480"/>
      <c r="J56" s="480"/>
      <c r="K56" s="480"/>
      <c r="L56" s="161" t="s">
        <v>34</v>
      </c>
      <c r="M56" s="162" t="s">
        <v>201</v>
      </c>
      <c r="N56" s="161" t="s">
        <v>202</v>
      </c>
      <c r="O56" s="161" t="s">
        <v>203</v>
      </c>
      <c r="P56" s="161" t="s">
        <v>204</v>
      </c>
      <c r="Q56" s="161" t="s">
        <v>179</v>
      </c>
      <c r="R56" s="315"/>
      <c r="S56" s="315"/>
      <c r="T56" s="244"/>
      <c r="U56" s="306"/>
      <c r="V56" s="315"/>
      <c r="W56" s="74"/>
      <c r="X56" s="73"/>
      <c r="Y56" s="73"/>
      <c r="Z56" s="73"/>
      <c r="AA56" s="73"/>
      <c r="AB56" s="73"/>
      <c r="AC56" s="73"/>
      <c r="AD56" s="73"/>
      <c r="AE56" s="73"/>
      <c r="AF56" s="73"/>
      <c r="AG56" s="77"/>
    </row>
    <row r="57" spans="1:33" ht="102.95" customHeight="1" thickBot="1">
      <c r="A57" s="73"/>
      <c r="B57" s="689"/>
      <c r="C57" s="494"/>
      <c r="D57" s="480"/>
      <c r="E57" s="480"/>
      <c r="F57" s="502"/>
      <c r="G57" s="503"/>
      <c r="H57" s="489"/>
      <c r="I57" s="489"/>
      <c r="J57" s="489"/>
      <c r="K57" s="489"/>
      <c r="L57" s="176" t="s">
        <v>36</v>
      </c>
      <c r="M57" s="162" t="s">
        <v>187</v>
      </c>
      <c r="N57" s="162" t="s">
        <v>188</v>
      </c>
      <c r="O57" s="162" t="s">
        <v>189</v>
      </c>
      <c r="P57" s="162" t="s">
        <v>190</v>
      </c>
      <c r="Q57" s="162" t="s">
        <v>191</v>
      </c>
      <c r="R57" s="326"/>
      <c r="S57" s="326"/>
      <c r="T57" s="250"/>
      <c r="U57" s="324"/>
      <c r="V57" s="326"/>
      <c r="W57" s="74"/>
      <c r="X57" s="73"/>
      <c r="Y57" s="73"/>
      <c r="Z57" s="73"/>
      <c r="AA57" s="73"/>
      <c r="AB57" s="73"/>
      <c r="AC57" s="73"/>
      <c r="AD57" s="73"/>
      <c r="AE57" s="73"/>
      <c r="AF57" s="73"/>
      <c r="AG57" s="77"/>
    </row>
    <row r="58" spans="1:33" ht="105" customHeight="1">
      <c r="A58" s="73"/>
      <c r="B58" s="689"/>
      <c r="C58" s="493" t="s">
        <v>102</v>
      </c>
      <c r="D58" s="484" t="s">
        <v>171</v>
      </c>
      <c r="E58" s="484" t="s">
        <v>172</v>
      </c>
      <c r="F58" s="673" t="s">
        <v>213</v>
      </c>
      <c r="G58" s="500"/>
      <c r="H58" s="674"/>
      <c r="I58" s="675">
        <v>3.7499999999999999E-2</v>
      </c>
      <c r="J58" s="674">
        <v>1</v>
      </c>
      <c r="K58" s="674" t="s">
        <v>214</v>
      </c>
      <c r="L58" s="179" t="s">
        <v>32</v>
      </c>
      <c r="M58" s="180" t="s">
        <v>215</v>
      </c>
      <c r="N58" s="181" t="s">
        <v>216</v>
      </c>
      <c r="O58" s="181" t="s">
        <v>217</v>
      </c>
      <c r="P58" s="161" t="s">
        <v>218</v>
      </c>
      <c r="Q58" s="161" t="s">
        <v>219</v>
      </c>
      <c r="R58" s="330" t="s">
        <v>220</v>
      </c>
      <c r="S58" s="330" t="s">
        <v>221</v>
      </c>
      <c r="T58" s="243"/>
      <c r="U58" s="328" t="e">
        <f>AVERAGE(T58:T60)</f>
        <v>#DIV/0!</v>
      </c>
      <c r="V58" s="329" t="e">
        <f>U58*I58</f>
        <v>#DIV/0!</v>
      </c>
      <c r="W58" s="74"/>
      <c r="X58" s="73"/>
      <c r="Y58" s="73"/>
      <c r="Z58" s="73"/>
      <c r="AA58" s="73"/>
      <c r="AB58" s="73"/>
      <c r="AC58" s="73"/>
      <c r="AD58" s="73"/>
      <c r="AE58" s="73"/>
      <c r="AF58" s="73"/>
      <c r="AG58" s="77"/>
    </row>
    <row r="59" spans="1:33" ht="93.6" customHeight="1">
      <c r="A59" s="73"/>
      <c r="B59" s="689"/>
      <c r="C59" s="494"/>
      <c r="D59" s="480"/>
      <c r="E59" s="480"/>
      <c r="F59" s="501"/>
      <c r="G59" s="476"/>
      <c r="H59" s="480"/>
      <c r="I59" s="480"/>
      <c r="J59" s="480"/>
      <c r="K59" s="480"/>
      <c r="L59" s="182" t="s">
        <v>34</v>
      </c>
      <c r="M59" s="161" t="s">
        <v>182</v>
      </c>
      <c r="N59" s="161" t="s">
        <v>183</v>
      </c>
      <c r="O59" s="161" t="s">
        <v>184</v>
      </c>
      <c r="P59" s="161" t="s">
        <v>185</v>
      </c>
      <c r="Q59" s="161" t="s">
        <v>186</v>
      </c>
      <c r="R59" s="315"/>
      <c r="S59" s="315"/>
      <c r="T59" s="244"/>
      <c r="U59" s="306"/>
      <c r="V59" s="315"/>
      <c r="W59" s="74"/>
      <c r="X59" s="73"/>
      <c r="Y59" s="73"/>
      <c r="Z59" s="73"/>
      <c r="AA59" s="73"/>
      <c r="AB59" s="73"/>
      <c r="AC59" s="73"/>
      <c r="AD59" s="73"/>
      <c r="AE59" s="73"/>
      <c r="AF59" s="73"/>
      <c r="AG59" s="77"/>
    </row>
    <row r="60" spans="1:33" ht="116.45" customHeight="1" thickBot="1">
      <c r="A60" s="73"/>
      <c r="B60" s="700"/>
      <c r="C60" s="494"/>
      <c r="D60" s="480"/>
      <c r="E60" s="480"/>
      <c r="F60" s="624"/>
      <c r="G60" s="478"/>
      <c r="H60" s="413"/>
      <c r="I60" s="413"/>
      <c r="J60" s="413"/>
      <c r="K60" s="413"/>
      <c r="L60" s="183" t="s">
        <v>36</v>
      </c>
      <c r="M60" s="164" t="s">
        <v>187</v>
      </c>
      <c r="N60" s="164" t="s">
        <v>188</v>
      </c>
      <c r="O60" s="164" t="s">
        <v>189</v>
      </c>
      <c r="P60" s="164" t="s">
        <v>190</v>
      </c>
      <c r="Q60" s="164" t="s">
        <v>191</v>
      </c>
      <c r="R60" s="316"/>
      <c r="S60" s="316"/>
      <c r="T60" s="250"/>
      <c r="U60" s="307"/>
      <c r="V60" s="316"/>
      <c r="W60" s="74"/>
      <c r="X60" s="73"/>
      <c r="Y60" s="73"/>
      <c r="Z60" s="73"/>
      <c r="AA60" s="73"/>
      <c r="AB60" s="73"/>
      <c r="AC60" s="73"/>
      <c r="AD60" s="73"/>
      <c r="AE60" s="73"/>
      <c r="AF60" s="73"/>
      <c r="AG60" s="77"/>
    </row>
    <row r="61" spans="1:33" ht="234.6" customHeight="1">
      <c r="A61" s="73"/>
      <c r="B61" s="688" t="s">
        <v>222</v>
      </c>
      <c r="C61" s="484" t="s">
        <v>27</v>
      </c>
      <c r="D61" s="484" t="s">
        <v>32</v>
      </c>
      <c r="E61" s="484" t="s">
        <v>223</v>
      </c>
      <c r="F61" s="505" t="s">
        <v>224</v>
      </c>
      <c r="G61" s="506"/>
      <c r="H61" s="497"/>
      <c r="I61" s="678">
        <v>0.03</v>
      </c>
      <c r="J61" s="484">
        <v>5</v>
      </c>
      <c r="K61" s="484" t="s">
        <v>225</v>
      </c>
      <c r="L61" s="179" t="s">
        <v>32</v>
      </c>
      <c r="M61" s="166" t="s">
        <v>226</v>
      </c>
      <c r="N61" s="166" t="s">
        <v>227</v>
      </c>
      <c r="O61" s="166" t="s">
        <v>228</v>
      </c>
      <c r="P61" s="166" t="s">
        <v>229</v>
      </c>
      <c r="Q61" s="166" t="s">
        <v>230</v>
      </c>
      <c r="R61" s="305" t="s">
        <v>231</v>
      </c>
      <c r="S61" s="305" t="s">
        <v>231</v>
      </c>
      <c r="T61" s="243"/>
      <c r="U61" s="328" t="e">
        <f>AVERAGE(T61:T63)</f>
        <v>#DIV/0!</v>
      </c>
      <c r="V61" s="329" t="e">
        <f>U61*I61</f>
        <v>#DIV/0!</v>
      </c>
      <c r="W61" s="74"/>
      <c r="X61" s="73"/>
      <c r="Y61" s="73"/>
      <c r="Z61" s="73"/>
      <c r="AA61" s="73"/>
      <c r="AB61" s="73"/>
      <c r="AC61" s="73"/>
      <c r="AD61" s="73"/>
      <c r="AE61" s="73"/>
      <c r="AF61" s="73"/>
      <c r="AG61" s="77"/>
    </row>
    <row r="62" spans="1:33" ht="150" customHeight="1">
      <c r="A62" s="73"/>
      <c r="B62" s="689"/>
      <c r="C62" s="480"/>
      <c r="D62" s="480"/>
      <c r="E62" s="480"/>
      <c r="F62" s="501"/>
      <c r="G62" s="476"/>
      <c r="H62" s="480"/>
      <c r="I62" s="480"/>
      <c r="J62" s="480"/>
      <c r="K62" s="480"/>
      <c r="L62" s="182" t="s">
        <v>34</v>
      </c>
      <c r="M62" s="175" t="s">
        <v>612</v>
      </c>
      <c r="N62" s="175" t="s">
        <v>232</v>
      </c>
      <c r="O62" s="175" t="s">
        <v>233</v>
      </c>
      <c r="P62" s="175" t="s">
        <v>234</v>
      </c>
      <c r="Q62" s="254" t="s">
        <v>235</v>
      </c>
      <c r="R62" s="306"/>
      <c r="S62" s="306"/>
      <c r="T62" s="244"/>
      <c r="U62" s="306"/>
      <c r="V62" s="315"/>
      <c r="W62" s="74"/>
      <c r="X62" s="73"/>
      <c r="Y62" s="73"/>
      <c r="Z62" s="73"/>
      <c r="AA62" s="73"/>
      <c r="AB62" s="73"/>
      <c r="AC62" s="73"/>
      <c r="AD62" s="73"/>
      <c r="AE62" s="73"/>
      <c r="AF62" s="73"/>
      <c r="AG62" s="77"/>
    </row>
    <row r="63" spans="1:33" ht="189.6" customHeight="1" thickBot="1">
      <c r="A63" s="73"/>
      <c r="B63" s="689"/>
      <c r="C63" s="489"/>
      <c r="D63" s="489"/>
      <c r="E63" s="489"/>
      <c r="F63" s="502"/>
      <c r="G63" s="503"/>
      <c r="H63" s="489"/>
      <c r="I63" s="489"/>
      <c r="J63" s="489"/>
      <c r="K63" s="489"/>
      <c r="L63" s="183" t="s">
        <v>36</v>
      </c>
      <c r="M63" s="228" t="s">
        <v>236</v>
      </c>
      <c r="N63" s="228" t="s">
        <v>237</v>
      </c>
      <c r="O63" s="228" t="s">
        <v>238</v>
      </c>
      <c r="P63" s="228" t="s">
        <v>239</v>
      </c>
      <c r="Q63" s="228" t="s">
        <v>240</v>
      </c>
      <c r="R63" s="324"/>
      <c r="S63" s="324"/>
      <c r="T63" s="250"/>
      <c r="U63" s="307"/>
      <c r="V63" s="316"/>
      <c r="W63" s="74"/>
      <c r="X63" s="73"/>
      <c r="Y63" s="73"/>
      <c r="Z63" s="73"/>
      <c r="AA63" s="73"/>
      <c r="AB63" s="73"/>
      <c r="AC63" s="73"/>
      <c r="AD63" s="73"/>
      <c r="AE63" s="73"/>
      <c r="AF63" s="73"/>
      <c r="AG63" s="77"/>
    </row>
    <row r="64" spans="1:33" ht="111.95" customHeight="1">
      <c r="A64" s="73"/>
      <c r="B64" s="689"/>
      <c r="C64" s="484" t="s">
        <v>27</v>
      </c>
      <c r="D64" s="484" t="s">
        <v>32</v>
      </c>
      <c r="E64" s="484" t="s">
        <v>223</v>
      </c>
      <c r="F64" s="505" t="s">
        <v>241</v>
      </c>
      <c r="G64" s="506"/>
      <c r="H64" s="497"/>
      <c r="I64" s="678">
        <v>0.03</v>
      </c>
      <c r="J64" s="484" t="s">
        <v>242</v>
      </c>
      <c r="K64" s="484" t="s">
        <v>243</v>
      </c>
      <c r="L64" s="179" t="s">
        <v>32</v>
      </c>
      <c r="M64" s="165" t="s">
        <v>244</v>
      </c>
      <c r="N64" s="184"/>
      <c r="O64" s="184"/>
      <c r="P64" s="184"/>
      <c r="Q64" s="165" t="s">
        <v>245</v>
      </c>
      <c r="R64" s="305" t="s">
        <v>246</v>
      </c>
      <c r="S64" s="305" t="s">
        <v>246</v>
      </c>
      <c r="T64" s="243"/>
      <c r="U64" s="328" t="e">
        <f>AVERAGE(T64:T66)</f>
        <v>#DIV/0!</v>
      </c>
      <c r="V64" s="329" t="e">
        <f>U64*I64</f>
        <v>#DIV/0!</v>
      </c>
      <c r="W64" s="74"/>
      <c r="X64" s="73"/>
      <c r="Y64" s="73"/>
      <c r="Z64" s="73"/>
      <c r="AA64" s="73"/>
      <c r="AB64" s="73"/>
      <c r="AC64" s="73"/>
      <c r="AD64" s="73"/>
      <c r="AE64" s="73"/>
      <c r="AF64" s="73"/>
      <c r="AG64" s="77"/>
    </row>
    <row r="65" spans="1:33" ht="126.95" customHeight="1">
      <c r="A65" s="73"/>
      <c r="B65" s="689"/>
      <c r="C65" s="480"/>
      <c r="D65" s="480"/>
      <c r="E65" s="480"/>
      <c r="F65" s="501"/>
      <c r="G65" s="476"/>
      <c r="H65" s="480"/>
      <c r="I65" s="480"/>
      <c r="J65" s="480"/>
      <c r="K65" s="480"/>
      <c r="L65" s="182" t="s">
        <v>34</v>
      </c>
      <c r="M65" s="161" t="s">
        <v>247</v>
      </c>
      <c r="N65" s="161" t="s">
        <v>248</v>
      </c>
      <c r="O65" s="161" t="s">
        <v>249</v>
      </c>
      <c r="P65" s="161" t="s">
        <v>250</v>
      </c>
      <c r="Q65" s="161" t="s">
        <v>251</v>
      </c>
      <c r="R65" s="306"/>
      <c r="S65" s="306"/>
      <c r="T65" s="244"/>
      <c r="U65" s="306"/>
      <c r="V65" s="315"/>
      <c r="W65" s="74"/>
      <c r="X65" s="73"/>
      <c r="Y65" s="73"/>
      <c r="Z65" s="73"/>
      <c r="AA65" s="73"/>
      <c r="AB65" s="73"/>
      <c r="AC65" s="73"/>
      <c r="AD65" s="73"/>
      <c r="AE65" s="73"/>
      <c r="AF65" s="73"/>
      <c r="AG65" s="77"/>
    </row>
    <row r="66" spans="1:33" ht="150" customHeight="1">
      <c r="A66" s="73"/>
      <c r="B66" s="689"/>
      <c r="C66" s="489"/>
      <c r="D66" s="489"/>
      <c r="E66" s="489"/>
      <c r="F66" s="502"/>
      <c r="G66" s="503"/>
      <c r="H66" s="489"/>
      <c r="I66" s="489"/>
      <c r="J66" s="489"/>
      <c r="K66" s="489"/>
      <c r="L66" s="183" t="s">
        <v>36</v>
      </c>
      <c r="M66" s="163" t="s">
        <v>252</v>
      </c>
      <c r="N66" s="163" t="s">
        <v>253</v>
      </c>
      <c r="O66" s="163" t="s">
        <v>254</v>
      </c>
      <c r="P66" s="163" t="s">
        <v>255</v>
      </c>
      <c r="Q66" s="163" t="s">
        <v>256</v>
      </c>
      <c r="R66" s="307"/>
      <c r="S66" s="324"/>
      <c r="T66" s="250"/>
      <c r="U66" s="307"/>
      <c r="V66" s="316"/>
      <c r="W66" s="74"/>
      <c r="X66" s="73"/>
      <c r="Y66" s="73"/>
      <c r="Z66" s="73"/>
      <c r="AA66" s="73"/>
      <c r="AB66" s="73"/>
      <c r="AC66" s="73"/>
      <c r="AD66" s="73"/>
      <c r="AE66" s="73"/>
      <c r="AF66" s="73"/>
      <c r="AG66" s="77"/>
    </row>
    <row r="67" spans="1:33" ht="90.6" customHeight="1">
      <c r="A67" s="73"/>
      <c r="B67" s="689"/>
      <c r="C67" s="484" t="s">
        <v>27</v>
      </c>
      <c r="D67" s="484" t="s">
        <v>32</v>
      </c>
      <c r="E67" s="484" t="s">
        <v>223</v>
      </c>
      <c r="F67" s="505" t="s">
        <v>257</v>
      </c>
      <c r="G67" s="506"/>
      <c r="H67" s="497"/>
      <c r="I67" s="678">
        <v>0.03</v>
      </c>
      <c r="J67" s="484" t="s">
        <v>258</v>
      </c>
      <c r="K67" s="484" t="s">
        <v>259</v>
      </c>
      <c r="L67" s="179" t="s">
        <v>32</v>
      </c>
      <c r="M67" s="165" t="s">
        <v>536</v>
      </c>
      <c r="N67" s="165" t="s">
        <v>537</v>
      </c>
      <c r="O67" s="165" t="s">
        <v>538</v>
      </c>
      <c r="P67" s="165" t="s">
        <v>539</v>
      </c>
      <c r="Q67" s="165" t="s">
        <v>240</v>
      </c>
      <c r="R67" s="305" t="s">
        <v>260</v>
      </c>
      <c r="S67" s="661" t="s">
        <v>259</v>
      </c>
      <c r="T67" s="243"/>
      <c r="U67" s="328" t="e">
        <f>AVERAGE(T67:T69)</f>
        <v>#DIV/0!</v>
      </c>
      <c r="V67" s="329" t="e">
        <f>U67*I67</f>
        <v>#DIV/0!</v>
      </c>
      <c r="W67" s="74"/>
      <c r="X67" s="73"/>
      <c r="Y67" s="73"/>
      <c r="Z67" s="73"/>
      <c r="AA67" s="73"/>
      <c r="AB67" s="73"/>
      <c r="AC67" s="73"/>
      <c r="AD67" s="73"/>
      <c r="AE67" s="73"/>
      <c r="AF67" s="73"/>
      <c r="AG67" s="77"/>
    </row>
    <row r="68" spans="1:33" ht="24.75" customHeight="1">
      <c r="A68" s="73"/>
      <c r="B68" s="689"/>
      <c r="C68" s="480"/>
      <c r="D68" s="480"/>
      <c r="E68" s="480"/>
      <c r="F68" s="501"/>
      <c r="G68" s="476"/>
      <c r="H68" s="480"/>
      <c r="I68" s="480"/>
      <c r="J68" s="480"/>
      <c r="K68" s="480"/>
      <c r="L68" s="182" t="s">
        <v>34</v>
      </c>
      <c r="M68" s="289"/>
      <c r="N68" s="289"/>
      <c r="O68" s="289"/>
      <c r="P68" s="289"/>
      <c r="Q68" s="289"/>
      <c r="R68" s="306"/>
      <c r="S68" s="306"/>
      <c r="T68" s="288"/>
      <c r="U68" s="306"/>
      <c r="V68" s="315"/>
      <c r="W68" s="74"/>
      <c r="X68" s="73"/>
      <c r="Y68" s="73"/>
      <c r="Z68" s="73"/>
      <c r="AA68" s="73"/>
      <c r="AB68" s="73"/>
      <c r="AC68" s="73"/>
      <c r="AD68" s="73"/>
      <c r="AE68" s="73"/>
      <c r="AF68" s="73"/>
      <c r="AG68" s="77"/>
    </row>
    <row r="69" spans="1:33" ht="114.95" customHeight="1">
      <c r="A69" s="73"/>
      <c r="B69" s="689"/>
      <c r="C69" s="489"/>
      <c r="D69" s="489"/>
      <c r="E69" s="413"/>
      <c r="F69" s="624"/>
      <c r="G69" s="478"/>
      <c r="H69" s="489"/>
      <c r="I69" s="413"/>
      <c r="J69" s="413"/>
      <c r="K69" s="413"/>
      <c r="L69" s="183" t="s">
        <v>36</v>
      </c>
      <c r="M69" s="163" t="s">
        <v>540</v>
      </c>
      <c r="N69" s="163" t="s">
        <v>541</v>
      </c>
      <c r="O69" s="163" t="s">
        <v>542</v>
      </c>
      <c r="P69" s="163" t="s">
        <v>543</v>
      </c>
      <c r="Q69" s="163" t="s">
        <v>240</v>
      </c>
      <c r="R69" s="307"/>
      <c r="S69" s="307"/>
      <c r="T69" s="250"/>
      <c r="U69" s="307"/>
      <c r="V69" s="316"/>
      <c r="W69" s="74"/>
      <c r="X69" s="73"/>
      <c r="Y69" s="73"/>
      <c r="Z69" s="73"/>
      <c r="AA69" s="73"/>
      <c r="AB69" s="73"/>
      <c r="AC69" s="73"/>
      <c r="AD69" s="73"/>
      <c r="AE69" s="73"/>
      <c r="AF69" s="73"/>
      <c r="AG69" s="77"/>
    </row>
    <row r="70" spans="1:33" ht="122.45" customHeight="1">
      <c r="A70" s="73"/>
      <c r="B70" s="689"/>
      <c r="C70" s="484" t="s">
        <v>27</v>
      </c>
      <c r="D70" s="484" t="s">
        <v>32</v>
      </c>
      <c r="E70" s="484" t="s">
        <v>261</v>
      </c>
      <c r="F70" s="505" t="s">
        <v>262</v>
      </c>
      <c r="G70" s="506"/>
      <c r="H70" s="497"/>
      <c r="I70" s="678">
        <v>0.03</v>
      </c>
      <c r="J70" s="484">
        <v>1</v>
      </c>
      <c r="K70" s="484" t="s">
        <v>263</v>
      </c>
      <c r="L70" s="179" t="s">
        <v>32</v>
      </c>
      <c r="M70" s="165" t="s">
        <v>264</v>
      </c>
      <c r="N70" s="165" t="s">
        <v>265</v>
      </c>
      <c r="O70" s="165" t="s">
        <v>266</v>
      </c>
      <c r="P70" s="165" t="s">
        <v>267</v>
      </c>
      <c r="Q70" s="165" t="s">
        <v>268</v>
      </c>
      <c r="R70" s="305" t="s">
        <v>544</v>
      </c>
      <c r="S70" s="661" t="s">
        <v>545</v>
      </c>
      <c r="T70" s="243"/>
      <c r="U70" s="328" t="e">
        <f>AVERAGE(T70:T72)</f>
        <v>#DIV/0!</v>
      </c>
      <c r="V70" s="329" t="e">
        <f>U70*I70</f>
        <v>#DIV/0!</v>
      </c>
      <c r="W70" s="74"/>
      <c r="X70" s="73"/>
      <c r="Y70" s="73"/>
      <c r="Z70" s="73"/>
      <c r="AA70" s="73"/>
      <c r="AB70" s="73"/>
      <c r="AC70" s="73"/>
      <c r="AD70" s="73"/>
      <c r="AE70" s="73"/>
      <c r="AF70" s="73"/>
      <c r="AG70" s="77"/>
    </row>
    <row r="71" spans="1:33" ht="24.75" customHeight="1">
      <c r="A71" s="73"/>
      <c r="B71" s="689"/>
      <c r="C71" s="480"/>
      <c r="D71" s="480"/>
      <c r="E71" s="480"/>
      <c r="F71" s="501"/>
      <c r="G71" s="476"/>
      <c r="H71" s="480"/>
      <c r="I71" s="480"/>
      <c r="J71" s="480"/>
      <c r="K71" s="480"/>
      <c r="L71" s="182" t="s">
        <v>34</v>
      </c>
      <c r="M71" s="178"/>
      <c r="N71" s="178"/>
      <c r="O71" s="178"/>
      <c r="P71" s="178"/>
      <c r="Q71" s="178"/>
      <c r="R71" s="306"/>
      <c r="S71" s="306"/>
      <c r="T71" s="288"/>
      <c r="U71" s="306"/>
      <c r="V71" s="315"/>
      <c r="W71" s="74"/>
      <c r="X71" s="73"/>
      <c r="Y71" s="73"/>
      <c r="Z71" s="73"/>
      <c r="AA71" s="73"/>
      <c r="AB71" s="73"/>
      <c r="AC71" s="73"/>
      <c r="AD71" s="73"/>
      <c r="AE71" s="73"/>
      <c r="AF71" s="73"/>
      <c r="AG71" s="77"/>
    </row>
    <row r="72" spans="1:33" ht="133.5" customHeight="1" thickBot="1">
      <c r="A72" s="73"/>
      <c r="B72" s="689"/>
      <c r="C72" s="415"/>
      <c r="D72" s="415"/>
      <c r="E72" s="415"/>
      <c r="F72" s="419"/>
      <c r="G72" s="475"/>
      <c r="H72" s="415"/>
      <c r="I72" s="415"/>
      <c r="J72" s="415"/>
      <c r="K72" s="415"/>
      <c r="L72" s="200" t="s">
        <v>36</v>
      </c>
      <c r="M72" s="197" t="s">
        <v>570</v>
      </c>
      <c r="N72" s="197" t="s">
        <v>571</v>
      </c>
      <c r="O72" s="197" t="s">
        <v>572</v>
      </c>
      <c r="P72" s="197" t="s">
        <v>573</v>
      </c>
      <c r="Q72" s="197" t="s">
        <v>240</v>
      </c>
      <c r="R72" s="352"/>
      <c r="S72" s="352"/>
      <c r="T72" s="246"/>
      <c r="U72" s="352"/>
      <c r="V72" s="334"/>
      <c r="W72" s="74"/>
      <c r="X72" s="73"/>
      <c r="Y72" s="73"/>
      <c r="Z72" s="73"/>
      <c r="AA72" s="73"/>
      <c r="AB72" s="73"/>
      <c r="AC72" s="73"/>
      <c r="AD72" s="73"/>
      <c r="AE72" s="73"/>
      <c r="AF72" s="73"/>
      <c r="AG72" s="77"/>
    </row>
    <row r="73" spans="1:33" ht="91.5" customHeight="1" thickBot="1">
      <c r="A73" s="73"/>
      <c r="B73" s="637"/>
      <c r="C73" s="693" t="s">
        <v>269</v>
      </c>
      <c r="D73" s="414" t="s">
        <v>270</v>
      </c>
      <c r="E73" s="414" t="s">
        <v>271</v>
      </c>
      <c r="F73" s="690" t="s">
        <v>272</v>
      </c>
      <c r="G73" s="508"/>
      <c r="H73" s="691"/>
      <c r="I73" s="692">
        <v>0.03</v>
      </c>
      <c r="J73" s="414">
        <v>4</v>
      </c>
      <c r="K73" s="414" t="s">
        <v>273</v>
      </c>
      <c r="L73" s="201" t="s">
        <v>32</v>
      </c>
      <c r="M73" s="202" t="s">
        <v>566</v>
      </c>
      <c r="N73" s="202" t="s">
        <v>567</v>
      </c>
      <c r="O73" s="202" t="s">
        <v>568</v>
      </c>
      <c r="P73" s="202" t="s">
        <v>569</v>
      </c>
      <c r="Q73" s="202" t="s">
        <v>240</v>
      </c>
      <c r="R73" s="351" t="s">
        <v>564</v>
      </c>
      <c r="S73" s="351" t="s">
        <v>565</v>
      </c>
      <c r="T73" s="247"/>
      <c r="U73" s="354" t="e">
        <f>AVERAGE(T73:T75)</f>
        <v>#DIV/0!</v>
      </c>
      <c r="V73" s="355" t="e">
        <f>U73*I73</f>
        <v>#DIV/0!</v>
      </c>
      <c r="W73" s="74"/>
      <c r="X73" s="73"/>
      <c r="Y73" s="73"/>
      <c r="Z73" s="73"/>
      <c r="AA73" s="73"/>
      <c r="AB73" s="73"/>
      <c r="AC73" s="73"/>
      <c r="AD73" s="73"/>
      <c r="AE73" s="73"/>
      <c r="AF73" s="73"/>
      <c r="AG73" s="77"/>
    </row>
    <row r="74" spans="1:33" ht="115.5" customHeight="1">
      <c r="A74" s="73"/>
      <c r="B74" s="637"/>
      <c r="C74" s="694"/>
      <c r="D74" s="415"/>
      <c r="E74" s="415"/>
      <c r="F74" s="419"/>
      <c r="G74" s="475"/>
      <c r="H74" s="415"/>
      <c r="I74" s="415"/>
      <c r="J74" s="415"/>
      <c r="K74" s="415"/>
      <c r="L74" s="203" t="s">
        <v>34</v>
      </c>
      <c r="M74" s="161" t="s">
        <v>274</v>
      </c>
      <c r="N74" s="161" t="s">
        <v>275</v>
      </c>
      <c r="O74" s="161" t="s">
        <v>276</v>
      </c>
      <c r="P74" s="161" t="s">
        <v>277</v>
      </c>
      <c r="Q74" s="161" t="s">
        <v>278</v>
      </c>
      <c r="R74" s="352"/>
      <c r="S74" s="352"/>
      <c r="T74" s="244"/>
      <c r="U74" s="352"/>
      <c r="V74" s="345"/>
      <c r="W74" s="74"/>
      <c r="X74" s="73"/>
      <c r="Y74" s="73"/>
      <c r="Z74" s="73"/>
      <c r="AA74" s="73"/>
      <c r="AB74" s="73"/>
      <c r="AC74" s="73"/>
      <c r="AD74" s="73"/>
      <c r="AE74" s="73"/>
      <c r="AF74" s="73"/>
      <c r="AG74" s="77"/>
    </row>
    <row r="75" spans="1:33" ht="119.45" customHeight="1" thickBot="1">
      <c r="A75" s="73"/>
      <c r="B75" s="544"/>
      <c r="C75" s="695"/>
      <c r="D75" s="416"/>
      <c r="E75" s="416"/>
      <c r="F75" s="420"/>
      <c r="G75" s="511"/>
      <c r="H75" s="416"/>
      <c r="I75" s="416"/>
      <c r="J75" s="416"/>
      <c r="K75" s="416"/>
      <c r="L75" s="204" t="s">
        <v>36</v>
      </c>
      <c r="M75" s="199" t="s">
        <v>279</v>
      </c>
      <c r="N75" s="199" t="s">
        <v>280</v>
      </c>
      <c r="O75" s="199" t="s">
        <v>281</v>
      </c>
      <c r="P75" s="199" t="s">
        <v>282</v>
      </c>
      <c r="Q75" s="199" t="s">
        <v>283</v>
      </c>
      <c r="R75" s="353"/>
      <c r="S75" s="353"/>
      <c r="T75" s="248"/>
      <c r="U75" s="353"/>
      <c r="V75" s="346"/>
      <c r="W75" s="74"/>
      <c r="X75" s="73"/>
      <c r="Y75" s="73"/>
      <c r="Z75" s="73"/>
      <c r="AA75" s="73"/>
      <c r="AB75" s="73"/>
      <c r="AC75" s="73"/>
      <c r="AD75" s="73"/>
      <c r="AE75" s="73"/>
      <c r="AF75" s="73"/>
      <c r="AG75" s="77"/>
    </row>
    <row r="76" spans="1:33" ht="36" customHeight="1" thickBot="1">
      <c r="A76" s="73"/>
      <c r="B76" s="653"/>
      <c r="C76" s="456"/>
      <c r="D76" s="456"/>
      <c r="E76" s="456"/>
      <c r="F76" s="456"/>
      <c r="G76" s="456"/>
      <c r="H76" s="456"/>
      <c r="I76" s="456"/>
      <c r="J76" s="456"/>
      <c r="K76" s="456"/>
      <c r="L76" s="456"/>
      <c r="M76" s="456"/>
      <c r="N76" s="456"/>
      <c r="O76" s="456"/>
      <c r="P76" s="456"/>
      <c r="Q76" s="456"/>
      <c r="R76" s="654" t="s">
        <v>284</v>
      </c>
      <c r="S76" s="360"/>
      <c r="T76" s="360"/>
      <c r="U76" s="361"/>
      <c r="V76" s="185" t="e">
        <f>SUM(V19:V75)</f>
        <v>#DIV/0!</v>
      </c>
      <c r="W76" s="74"/>
      <c r="X76" s="73"/>
      <c r="Y76" s="73"/>
      <c r="Z76" s="73"/>
      <c r="AA76" s="73"/>
      <c r="AB76" s="73"/>
      <c r="AC76" s="73"/>
      <c r="AD76" s="73"/>
      <c r="AE76" s="73"/>
      <c r="AF76" s="73"/>
      <c r="AG76" s="77"/>
    </row>
    <row r="77" spans="1:33" ht="83.45" customHeight="1">
      <c r="A77" s="73"/>
      <c r="B77" s="186"/>
      <c r="C77" s="187" t="s">
        <v>285</v>
      </c>
      <c r="D77" s="187" t="s">
        <v>286</v>
      </c>
      <c r="E77" s="187" t="s">
        <v>287</v>
      </c>
      <c r="F77" s="188"/>
      <c r="G77" s="188"/>
      <c r="H77" s="188"/>
      <c r="I77" s="188"/>
      <c r="J77" s="188"/>
      <c r="K77" s="188"/>
      <c r="L77" s="188"/>
      <c r="M77" s="188"/>
      <c r="N77" s="188"/>
      <c r="O77" s="188"/>
      <c r="P77" s="188"/>
      <c r="Q77" s="188"/>
      <c r="R77" s="188"/>
      <c r="S77" s="186"/>
      <c r="T77" s="186"/>
      <c r="U77" s="189"/>
      <c r="V77" s="189"/>
      <c r="W77" s="74"/>
      <c r="X77" s="73"/>
      <c r="Y77" s="73"/>
      <c r="Z77" s="73"/>
      <c r="AA77" s="73"/>
      <c r="AB77" s="73"/>
      <c r="AC77" s="73"/>
      <c r="AD77" s="73"/>
      <c r="AE77" s="73"/>
      <c r="AF77" s="73"/>
      <c r="AG77" s="77"/>
    </row>
    <row r="78" spans="1:33" ht="44.1" customHeight="1">
      <c r="A78" s="73"/>
      <c r="B78" s="87"/>
      <c r="C78" s="87"/>
      <c r="D78" s="87"/>
      <c r="E78" s="75"/>
      <c r="F78" s="75"/>
      <c r="G78" s="87"/>
      <c r="H78" s="87"/>
      <c r="I78" s="87"/>
      <c r="J78" s="87"/>
      <c r="K78" s="87"/>
      <c r="L78" s="87"/>
      <c r="M78" s="87"/>
      <c r="N78" s="87"/>
      <c r="O78" s="87"/>
      <c r="P78" s="87"/>
      <c r="Q78" s="87" t="s">
        <v>288</v>
      </c>
      <c r="R78" s="87"/>
      <c r="S78" s="87"/>
      <c r="T78" s="87"/>
      <c r="U78" s="86"/>
      <c r="V78" s="86"/>
      <c r="W78" s="74"/>
      <c r="X78" s="73"/>
      <c r="Y78" s="73"/>
      <c r="Z78" s="73"/>
      <c r="AA78" s="73"/>
      <c r="AB78" s="73"/>
      <c r="AC78" s="73"/>
      <c r="AD78" s="73"/>
      <c r="AE78" s="73"/>
      <c r="AF78" s="73"/>
      <c r="AG78" s="77"/>
    </row>
    <row r="79" spans="1:33" ht="86.1" customHeight="1">
      <c r="A79" s="73"/>
      <c r="B79" s="655" t="s">
        <v>603</v>
      </c>
      <c r="C79" s="549"/>
      <c r="D79" s="549"/>
      <c r="E79" s="549"/>
      <c r="F79" s="549"/>
      <c r="G79" s="549"/>
      <c r="H79" s="549"/>
      <c r="I79" s="549"/>
      <c r="J79" s="549"/>
      <c r="K79" s="549"/>
      <c r="L79" s="549"/>
      <c r="M79" s="549"/>
      <c r="N79" s="549"/>
      <c r="O79" s="549"/>
      <c r="P79" s="549"/>
      <c r="Q79" s="549"/>
      <c r="R79" s="549"/>
      <c r="S79" s="549"/>
      <c r="T79" s="549"/>
      <c r="U79" s="549"/>
      <c r="V79" s="549"/>
      <c r="W79" s="74"/>
      <c r="X79" s="73"/>
      <c r="Y79" s="73"/>
      <c r="Z79" s="73"/>
      <c r="AA79" s="73"/>
      <c r="AB79" s="73"/>
      <c r="AC79" s="73"/>
      <c r="AD79" s="73"/>
      <c r="AE79" s="73"/>
      <c r="AF79" s="73"/>
      <c r="AG79" s="77"/>
    </row>
    <row r="80" spans="1:33" ht="21.75" customHeight="1" thickBot="1">
      <c r="A80" s="73"/>
      <c r="B80" s="656" t="s">
        <v>289</v>
      </c>
      <c r="C80" s="531"/>
      <c r="D80" s="531"/>
      <c r="E80" s="531"/>
      <c r="F80" s="531"/>
      <c r="G80" s="531"/>
      <c r="H80" s="531"/>
      <c r="I80" s="531"/>
      <c r="J80" s="531"/>
      <c r="K80" s="531"/>
      <c r="L80" s="531"/>
      <c r="M80" s="531"/>
      <c r="N80" s="531"/>
      <c r="O80" s="531"/>
      <c r="P80" s="531"/>
      <c r="Q80" s="531"/>
      <c r="R80" s="593"/>
      <c r="S80" s="656" t="s">
        <v>9</v>
      </c>
      <c r="T80" s="531"/>
      <c r="U80" s="531"/>
      <c r="V80" s="593"/>
      <c r="W80" s="74"/>
      <c r="X80" s="73"/>
      <c r="Y80" s="73"/>
      <c r="Z80" s="73"/>
      <c r="AA80" s="73"/>
      <c r="AB80" s="73"/>
      <c r="AC80" s="73"/>
      <c r="AD80" s="73"/>
      <c r="AE80" s="73"/>
      <c r="AF80" s="73"/>
      <c r="AG80" s="77"/>
    </row>
    <row r="81" spans="1:33" ht="102" customHeight="1" thickBot="1">
      <c r="A81" s="79"/>
      <c r="B81" s="589" t="s">
        <v>290</v>
      </c>
      <c r="C81" s="531"/>
      <c r="D81" s="531"/>
      <c r="E81" s="461"/>
      <c r="F81" s="657" t="s">
        <v>291</v>
      </c>
      <c r="G81" s="658"/>
      <c r="H81" s="652" t="s">
        <v>11</v>
      </c>
      <c r="I81" s="677" t="s">
        <v>12</v>
      </c>
      <c r="J81" s="676" t="s">
        <v>583</v>
      </c>
      <c r="K81" s="463"/>
      <c r="L81" s="585" t="s">
        <v>581</v>
      </c>
      <c r="M81" s="651" t="s">
        <v>292</v>
      </c>
      <c r="N81" s="462"/>
      <c r="O81" s="462"/>
      <c r="P81" s="462"/>
      <c r="Q81" s="463"/>
      <c r="R81" s="652" t="s">
        <v>14</v>
      </c>
      <c r="S81" s="602" t="s">
        <v>293</v>
      </c>
      <c r="T81" s="602" t="s">
        <v>16</v>
      </c>
      <c r="U81" s="585" t="s">
        <v>17</v>
      </c>
      <c r="V81" s="585" t="s">
        <v>18</v>
      </c>
      <c r="W81" s="80"/>
      <c r="X81" s="79"/>
      <c r="Y81" s="79"/>
      <c r="Z81" s="79"/>
      <c r="AA81" s="79"/>
      <c r="AB81" s="79"/>
      <c r="AC81" s="79"/>
      <c r="AD81" s="79"/>
      <c r="AE81" s="79"/>
      <c r="AF81" s="79"/>
      <c r="AG81" s="88"/>
    </row>
    <row r="82" spans="1:33" ht="71.099999999999994" customHeight="1" thickBot="1">
      <c r="A82" s="73"/>
      <c r="B82" s="590"/>
      <c r="C82" s="591"/>
      <c r="D82" s="591"/>
      <c r="E82" s="592"/>
      <c r="F82" s="659"/>
      <c r="G82" s="660"/>
      <c r="H82" s="584"/>
      <c r="I82" s="586"/>
      <c r="J82" s="89" t="s">
        <v>584</v>
      </c>
      <c r="K82" s="89" t="s">
        <v>582</v>
      </c>
      <c r="L82" s="586"/>
      <c r="M82" s="89" t="s">
        <v>19</v>
      </c>
      <c r="N82" s="89" t="s">
        <v>20</v>
      </c>
      <c r="O82" s="89" t="s">
        <v>21</v>
      </c>
      <c r="P82" s="89" t="s">
        <v>22</v>
      </c>
      <c r="Q82" s="89" t="s">
        <v>23</v>
      </c>
      <c r="R82" s="584"/>
      <c r="S82" s="603"/>
      <c r="T82" s="603"/>
      <c r="U82" s="586"/>
      <c r="V82" s="586"/>
      <c r="W82" s="74"/>
      <c r="X82" s="73"/>
      <c r="Y82" s="73"/>
      <c r="Z82" s="73"/>
      <c r="AA82" s="73"/>
      <c r="AB82" s="73"/>
      <c r="AC82" s="73"/>
      <c r="AD82" s="73"/>
      <c r="AE82" s="73"/>
      <c r="AF82" s="73"/>
      <c r="AG82" s="77"/>
    </row>
    <row r="83" spans="1:33" ht="218.1" customHeight="1" thickTop="1" thickBot="1">
      <c r="A83" s="73"/>
      <c r="B83" s="570" t="s">
        <v>43</v>
      </c>
      <c r="C83" s="542"/>
      <c r="D83" s="542"/>
      <c r="E83" s="636"/>
      <c r="F83" s="646" t="s">
        <v>294</v>
      </c>
      <c r="G83" s="476"/>
      <c r="H83" s="647"/>
      <c r="I83" s="648">
        <v>0.05</v>
      </c>
      <c r="J83" s="649">
        <v>4</v>
      </c>
      <c r="K83" s="650" t="s">
        <v>295</v>
      </c>
      <c r="L83" s="255" t="s">
        <v>32</v>
      </c>
      <c r="M83" s="269" t="s">
        <v>296</v>
      </c>
      <c r="N83" s="269" t="s">
        <v>297</v>
      </c>
      <c r="O83" s="269" t="s">
        <v>298</v>
      </c>
      <c r="P83" s="269" t="s">
        <v>299</v>
      </c>
      <c r="Q83" s="269" t="s">
        <v>300</v>
      </c>
      <c r="R83" s="671" t="s">
        <v>301</v>
      </c>
      <c r="S83" s="671" t="s">
        <v>302</v>
      </c>
      <c r="T83" s="256"/>
      <c r="U83" s="596" t="e">
        <f>AVERAGE(T83:T85)</f>
        <v>#DIV/0!</v>
      </c>
      <c r="V83" s="607" t="e">
        <f>U83*I83</f>
        <v>#DIV/0!</v>
      </c>
      <c r="W83" s="74"/>
      <c r="X83" s="73"/>
      <c r="Y83" s="73"/>
      <c r="Z83" s="73"/>
      <c r="AA83" s="73"/>
      <c r="AB83" s="73"/>
      <c r="AC83" s="73"/>
      <c r="AD83" s="73"/>
      <c r="AE83" s="73"/>
      <c r="AF83" s="73"/>
      <c r="AG83" s="77"/>
    </row>
    <row r="84" spans="1:33" ht="174" customHeight="1" thickBot="1">
      <c r="A84" s="73"/>
      <c r="B84" s="543"/>
      <c r="C84" s="456"/>
      <c r="D84" s="456"/>
      <c r="E84" s="380"/>
      <c r="F84" s="501"/>
      <c r="G84" s="476"/>
      <c r="H84" s="480"/>
      <c r="I84" s="480"/>
      <c r="J84" s="480"/>
      <c r="K84" s="480"/>
      <c r="L84" s="258" t="s">
        <v>34</v>
      </c>
      <c r="M84" s="270" t="s">
        <v>303</v>
      </c>
      <c r="N84" s="270" t="s">
        <v>304</v>
      </c>
      <c r="O84" s="270" t="s">
        <v>305</v>
      </c>
      <c r="P84" s="270" t="s">
        <v>306</v>
      </c>
      <c r="Q84" s="270" t="s">
        <v>307</v>
      </c>
      <c r="R84" s="604"/>
      <c r="S84" s="604"/>
      <c r="T84" s="256"/>
      <c r="U84" s="480"/>
      <c r="V84" s="608"/>
      <c r="W84" s="74"/>
      <c r="X84" s="73"/>
      <c r="Y84" s="73"/>
      <c r="Z84" s="73"/>
      <c r="AA84" s="73"/>
      <c r="AB84" s="73"/>
      <c r="AC84" s="73"/>
      <c r="AD84" s="73"/>
      <c r="AE84" s="73"/>
      <c r="AF84" s="73"/>
      <c r="AG84" s="77"/>
    </row>
    <row r="85" spans="1:33" ht="147.6" customHeight="1" thickBot="1">
      <c r="A85" s="73"/>
      <c r="B85" s="637"/>
      <c r="C85" s="622"/>
      <c r="D85" s="622"/>
      <c r="E85" s="453"/>
      <c r="F85" s="419"/>
      <c r="G85" s="475"/>
      <c r="H85" s="415"/>
      <c r="I85" s="415"/>
      <c r="J85" s="415"/>
      <c r="K85" s="415"/>
      <c r="L85" s="259" t="s">
        <v>36</v>
      </c>
      <c r="M85" s="271" t="s">
        <v>308</v>
      </c>
      <c r="N85" s="271" t="s">
        <v>309</v>
      </c>
      <c r="O85" s="271" t="s">
        <v>310</v>
      </c>
      <c r="P85" s="271" t="s">
        <v>311</v>
      </c>
      <c r="Q85" s="271" t="s">
        <v>312</v>
      </c>
      <c r="R85" s="672"/>
      <c r="S85" s="672"/>
      <c r="T85" s="257"/>
      <c r="U85" s="415"/>
      <c r="V85" s="629"/>
      <c r="W85" s="74"/>
      <c r="X85" s="73"/>
      <c r="Y85" s="73"/>
      <c r="Z85" s="73"/>
      <c r="AA85" s="73"/>
      <c r="AB85" s="73"/>
      <c r="AC85" s="73"/>
      <c r="AD85" s="73"/>
      <c r="AE85" s="73"/>
      <c r="AF85" s="73"/>
      <c r="AG85" s="77"/>
    </row>
    <row r="86" spans="1:33" ht="77.099999999999994" customHeight="1">
      <c r="A86" s="91"/>
      <c r="B86" s="638" t="s">
        <v>313</v>
      </c>
      <c r="C86" s="639"/>
      <c r="D86" s="639"/>
      <c r="E86" s="508"/>
      <c r="F86" s="640" t="s">
        <v>314</v>
      </c>
      <c r="G86" s="641"/>
      <c r="H86" s="642"/>
      <c r="I86" s="643">
        <v>0.05</v>
      </c>
      <c r="J86" s="644">
        <v>1</v>
      </c>
      <c r="K86" s="645"/>
      <c r="L86" s="260" t="s">
        <v>32</v>
      </c>
      <c r="M86" s="272" t="s">
        <v>315</v>
      </c>
      <c r="N86" s="272" t="s">
        <v>316</v>
      </c>
      <c r="O86" s="272" t="s">
        <v>317</v>
      </c>
      <c r="P86" s="272" t="s">
        <v>318</v>
      </c>
      <c r="Q86" s="273" t="s">
        <v>319</v>
      </c>
      <c r="R86" s="630" t="s">
        <v>320</v>
      </c>
      <c r="S86" s="630" t="s">
        <v>321</v>
      </c>
      <c r="T86" s="261"/>
      <c r="U86" s="663" t="e">
        <f>AVERAGE(T86:T88)</f>
        <v>#DIV/0!</v>
      </c>
      <c r="V86" s="633" t="e">
        <f>U86*I86</f>
        <v>#DIV/0!</v>
      </c>
      <c r="W86" s="74"/>
      <c r="X86" s="73"/>
      <c r="Y86" s="73"/>
      <c r="Z86" s="73"/>
      <c r="AA86" s="73"/>
      <c r="AB86" s="73"/>
      <c r="AC86" s="73"/>
      <c r="AD86" s="73"/>
      <c r="AE86" s="73"/>
      <c r="AF86" s="73"/>
      <c r="AG86" s="77"/>
    </row>
    <row r="87" spans="1:33" ht="86.1" customHeight="1">
      <c r="A87" s="73"/>
      <c r="B87" s="491"/>
      <c r="C87" s="509"/>
      <c r="D87" s="509"/>
      <c r="E87" s="475"/>
      <c r="F87" s="419"/>
      <c r="G87" s="509"/>
      <c r="H87" s="631"/>
      <c r="I87" s="631"/>
      <c r="J87" s="475"/>
      <c r="K87" s="415"/>
      <c r="L87" s="258" t="s">
        <v>34</v>
      </c>
      <c r="M87" s="274" t="s">
        <v>322</v>
      </c>
      <c r="N87" s="274" t="s">
        <v>323</v>
      </c>
      <c r="O87" s="274" t="s">
        <v>324</v>
      </c>
      <c r="P87" s="274" t="s">
        <v>325</v>
      </c>
      <c r="Q87" s="275" t="s">
        <v>326</v>
      </c>
      <c r="R87" s="631"/>
      <c r="S87" s="631"/>
      <c r="T87" s="262"/>
      <c r="U87" s="415"/>
      <c r="V87" s="634"/>
      <c r="W87" s="74"/>
      <c r="X87" s="73"/>
      <c r="Y87" s="73"/>
      <c r="Z87" s="73"/>
      <c r="AA87" s="73"/>
      <c r="AB87" s="73"/>
      <c r="AC87" s="73"/>
      <c r="AD87" s="73"/>
      <c r="AE87" s="73"/>
      <c r="AF87" s="73"/>
      <c r="AG87" s="77"/>
    </row>
    <row r="88" spans="1:33" ht="87" customHeight="1" thickBot="1">
      <c r="A88" s="73"/>
      <c r="B88" s="492"/>
      <c r="C88" s="510"/>
      <c r="D88" s="510"/>
      <c r="E88" s="511"/>
      <c r="F88" s="420"/>
      <c r="G88" s="510"/>
      <c r="H88" s="632"/>
      <c r="I88" s="632"/>
      <c r="J88" s="511"/>
      <c r="K88" s="416"/>
      <c r="L88" s="263" t="s">
        <v>36</v>
      </c>
      <c r="M88" s="276" t="s">
        <v>327</v>
      </c>
      <c r="N88" s="276" t="s">
        <v>328</v>
      </c>
      <c r="O88" s="276" t="s">
        <v>329</v>
      </c>
      <c r="P88" s="276" t="s">
        <v>330</v>
      </c>
      <c r="Q88" s="277" t="s">
        <v>331</v>
      </c>
      <c r="R88" s="632"/>
      <c r="S88" s="632"/>
      <c r="T88" s="264"/>
      <c r="U88" s="416"/>
      <c r="V88" s="635"/>
      <c r="W88" s="74"/>
      <c r="X88" s="73"/>
      <c r="Y88" s="73"/>
      <c r="Z88" s="73"/>
      <c r="AA88" s="73"/>
      <c r="AB88" s="73"/>
      <c r="AC88" s="73"/>
      <c r="AD88" s="73"/>
      <c r="AE88" s="73"/>
      <c r="AF88" s="73"/>
      <c r="AG88" s="77"/>
    </row>
    <row r="89" spans="1:33" ht="81" customHeight="1">
      <c r="A89" s="73"/>
      <c r="B89" s="621" t="s">
        <v>170</v>
      </c>
      <c r="C89" s="622"/>
      <c r="D89" s="622"/>
      <c r="E89" s="475"/>
      <c r="F89" s="623" t="s">
        <v>332</v>
      </c>
      <c r="G89" s="475"/>
      <c r="H89" s="625"/>
      <c r="I89" s="626">
        <v>0.05</v>
      </c>
      <c r="J89" s="627">
        <v>4</v>
      </c>
      <c r="K89" s="479" t="s">
        <v>333</v>
      </c>
      <c r="L89" s="265" t="s">
        <v>32</v>
      </c>
      <c r="M89" s="278" t="s">
        <v>334</v>
      </c>
      <c r="N89" s="279" t="s">
        <v>335</v>
      </c>
      <c r="O89" s="279" t="s">
        <v>336</v>
      </c>
      <c r="P89" s="279" t="s">
        <v>337</v>
      </c>
      <c r="Q89" s="279" t="s">
        <v>338</v>
      </c>
      <c r="R89" s="669" t="s">
        <v>339</v>
      </c>
      <c r="S89" s="669" t="s">
        <v>339</v>
      </c>
      <c r="T89" s="266"/>
      <c r="U89" s="664" t="e">
        <f>AVERAGE(T89:T94)</f>
        <v>#DIV/0!</v>
      </c>
      <c r="V89" s="665" t="e">
        <f>U89*I89</f>
        <v>#DIV/0!</v>
      </c>
      <c r="W89" s="74"/>
      <c r="X89" s="73"/>
      <c r="Y89" s="73"/>
      <c r="Z89" s="73"/>
      <c r="AA89" s="73"/>
      <c r="AB89" s="73"/>
      <c r="AC89" s="73"/>
      <c r="AD89" s="73"/>
      <c r="AE89" s="73"/>
      <c r="AF89" s="73"/>
      <c r="AG89" s="77"/>
    </row>
    <row r="90" spans="1:33" ht="174" customHeight="1">
      <c r="A90" s="73"/>
      <c r="B90" s="543"/>
      <c r="C90" s="456"/>
      <c r="D90" s="456"/>
      <c r="E90" s="476"/>
      <c r="F90" s="501"/>
      <c r="G90" s="476"/>
      <c r="H90" s="480"/>
      <c r="I90" s="480"/>
      <c r="J90" s="480"/>
      <c r="K90" s="480"/>
      <c r="L90" s="265" t="s">
        <v>34</v>
      </c>
      <c r="M90" s="280" t="s">
        <v>340</v>
      </c>
      <c r="N90" s="270" t="s">
        <v>341</v>
      </c>
      <c r="O90" s="270" t="s">
        <v>342</v>
      </c>
      <c r="P90" s="270" t="s">
        <v>343</v>
      </c>
      <c r="Q90" s="270" t="s">
        <v>344</v>
      </c>
      <c r="R90" s="604"/>
      <c r="S90" s="604"/>
      <c r="T90" s="262"/>
      <c r="U90" s="480"/>
      <c r="V90" s="608"/>
      <c r="W90" s="74"/>
      <c r="X90" s="73"/>
      <c r="Y90" s="73"/>
      <c r="Z90" s="73"/>
      <c r="AA90" s="73"/>
      <c r="AB90" s="73"/>
      <c r="AC90" s="73"/>
      <c r="AD90" s="73"/>
      <c r="AE90" s="73"/>
      <c r="AF90" s="73"/>
      <c r="AG90" s="77"/>
    </row>
    <row r="91" spans="1:33" ht="72" customHeight="1" thickBot="1">
      <c r="A91" s="73"/>
      <c r="B91" s="544"/>
      <c r="C91" s="477"/>
      <c r="D91" s="477"/>
      <c r="E91" s="478"/>
      <c r="F91" s="624"/>
      <c r="G91" s="478"/>
      <c r="H91" s="489"/>
      <c r="I91" s="489"/>
      <c r="J91" s="489"/>
      <c r="K91" s="489"/>
      <c r="L91" s="267" t="s">
        <v>36</v>
      </c>
      <c r="M91" s="281" t="s">
        <v>187</v>
      </c>
      <c r="N91" s="282" t="s">
        <v>188</v>
      </c>
      <c r="O91" s="282" t="s">
        <v>189</v>
      </c>
      <c r="P91" s="282" t="s">
        <v>190</v>
      </c>
      <c r="Q91" s="282" t="s">
        <v>191</v>
      </c>
      <c r="R91" s="670"/>
      <c r="S91" s="670"/>
      <c r="T91" s="262"/>
      <c r="U91" s="480"/>
      <c r="V91" s="608"/>
      <c r="W91" s="74"/>
      <c r="X91" s="73"/>
      <c r="Y91" s="73"/>
      <c r="Z91" s="73"/>
      <c r="AA91" s="73"/>
      <c r="AB91" s="73"/>
      <c r="AC91" s="73"/>
      <c r="AD91" s="73"/>
      <c r="AE91" s="73"/>
      <c r="AF91" s="73"/>
      <c r="AG91" s="77"/>
    </row>
    <row r="92" spans="1:33" ht="258" customHeight="1">
      <c r="A92" s="73"/>
      <c r="B92" s="628" t="s">
        <v>345</v>
      </c>
      <c r="C92" s="542"/>
      <c r="D92" s="542"/>
      <c r="E92" s="506"/>
      <c r="F92" s="611" t="s">
        <v>346</v>
      </c>
      <c r="G92" s="506"/>
      <c r="H92" s="498"/>
      <c r="I92" s="618">
        <v>0.05</v>
      </c>
      <c r="J92" s="498">
        <v>4</v>
      </c>
      <c r="K92" s="498" t="s">
        <v>347</v>
      </c>
      <c r="L92" s="268" t="s">
        <v>32</v>
      </c>
      <c r="M92" s="283" t="s">
        <v>613</v>
      </c>
      <c r="N92" s="284" t="s">
        <v>348</v>
      </c>
      <c r="O92" s="284" t="s">
        <v>349</v>
      </c>
      <c r="P92" s="284" t="s">
        <v>350</v>
      </c>
      <c r="Q92" s="284" t="s">
        <v>351</v>
      </c>
      <c r="R92" s="514" t="s">
        <v>352</v>
      </c>
      <c r="S92" s="514" t="s">
        <v>353</v>
      </c>
      <c r="T92" s="262"/>
      <c r="U92" s="666" t="e">
        <f>AVERAGE(T92:T97)</f>
        <v>#DIV/0!</v>
      </c>
      <c r="V92" s="667" t="e">
        <f>U92*I92</f>
        <v>#DIV/0!</v>
      </c>
      <c r="W92" s="74"/>
      <c r="X92" s="73"/>
      <c r="Y92" s="73"/>
      <c r="Z92" s="73"/>
      <c r="AA92" s="73"/>
      <c r="AB92" s="73"/>
      <c r="AC92" s="73"/>
      <c r="AD92" s="73"/>
      <c r="AE92" s="73"/>
      <c r="AF92" s="73"/>
      <c r="AG92" s="77"/>
    </row>
    <row r="93" spans="1:33" ht="81.599999999999994" customHeight="1">
      <c r="A93" s="73"/>
      <c r="B93" s="543"/>
      <c r="C93" s="456"/>
      <c r="D93" s="456"/>
      <c r="E93" s="476"/>
      <c r="F93" s="501"/>
      <c r="G93" s="476"/>
      <c r="H93" s="480"/>
      <c r="I93" s="480"/>
      <c r="J93" s="480"/>
      <c r="K93" s="480"/>
      <c r="L93" s="162" t="s">
        <v>34</v>
      </c>
      <c r="M93" s="281" t="s">
        <v>354</v>
      </c>
      <c r="N93" s="281" t="s">
        <v>355</v>
      </c>
      <c r="O93" s="281" t="s">
        <v>356</v>
      </c>
      <c r="P93" s="281" t="s">
        <v>357</v>
      </c>
      <c r="Q93" s="281" t="s">
        <v>358</v>
      </c>
      <c r="R93" s="604"/>
      <c r="S93" s="604"/>
      <c r="T93" s="262"/>
      <c r="U93" s="480"/>
      <c r="V93" s="608"/>
      <c r="W93" s="74"/>
      <c r="X93" s="73"/>
      <c r="Y93" s="73"/>
      <c r="Z93" s="73"/>
      <c r="AA93" s="73"/>
      <c r="AB93" s="73"/>
      <c r="AC93" s="73"/>
      <c r="AD93" s="73"/>
      <c r="AE93" s="73"/>
      <c r="AF93" s="73"/>
      <c r="AG93" s="77"/>
    </row>
    <row r="94" spans="1:33" ht="114.95" customHeight="1" thickBot="1">
      <c r="A94" s="73"/>
      <c r="B94" s="544"/>
      <c r="C94" s="477"/>
      <c r="D94" s="477"/>
      <c r="E94" s="478"/>
      <c r="F94" s="502"/>
      <c r="G94" s="503"/>
      <c r="H94" s="489"/>
      <c r="I94" s="489"/>
      <c r="J94" s="489"/>
      <c r="K94" s="489"/>
      <c r="L94" s="164" t="s">
        <v>36</v>
      </c>
      <c r="M94" s="285" t="s">
        <v>359</v>
      </c>
      <c r="N94" s="285" t="s">
        <v>360</v>
      </c>
      <c r="O94" s="285" t="s">
        <v>361</v>
      </c>
      <c r="P94" s="285" t="s">
        <v>362</v>
      </c>
      <c r="Q94" s="285" t="s">
        <v>363</v>
      </c>
      <c r="R94" s="670"/>
      <c r="S94" s="670"/>
      <c r="T94" s="262"/>
      <c r="U94" s="480"/>
      <c r="V94" s="608"/>
      <c r="W94" s="74"/>
      <c r="X94" s="73"/>
      <c r="Y94" s="73"/>
      <c r="Z94" s="73"/>
      <c r="AA94" s="73"/>
      <c r="AB94" s="73"/>
      <c r="AC94" s="73"/>
      <c r="AD94" s="73"/>
      <c r="AE94" s="73"/>
      <c r="AF94" s="73"/>
      <c r="AG94" s="77"/>
    </row>
    <row r="95" spans="1:33" ht="24.75" hidden="1" customHeight="1">
      <c r="A95" s="73"/>
      <c r="B95" s="557"/>
      <c r="C95" s="534"/>
      <c r="D95" s="534"/>
      <c r="E95" s="523"/>
      <c r="F95" s="537"/>
      <c r="G95" s="532"/>
      <c r="H95" s="615"/>
      <c r="I95" s="579"/>
      <c r="J95" s="619"/>
      <c r="K95" s="620"/>
      <c r="L95" s="93"/>
      <c r="M95" s="95"/>
      <c r="N95" s="95"/>
      <c r="O95" s="95"/>
      <c r="P95" s="95"/>
      <c r="Q95" s="95"/>
      <c r="R95" s="96"/>
      <c r="S95" s="97"/>
      <c r="T95" s="98"/>
      <c r="U95" s="597"/>
      <c r="V95" s="668"/>
      <c r="W95" s="74"/>
      <c r="X95" s="73"/>
      <c r="Y95" s="73"/>
      <c r="Z95" s="73"/>
      <c r="AA95" s="73"/>
      <c r="AB95" s="73"/>
      <c r="AC95" s="73"/>
      <c r="AD95" s="73"/>
      <c r="AE95" s="73"/>
      <c r="AF95" s="73"/>
      <c r="AG95" s="77"/>
    </row>
    <row r="96" spans="1:33" ht="24.75" hidden="1" customHeight="1">
      <c r="A96" s="73"/>
      <c r="B96" s="533"/>
      <c r="C96" s="534"/>
      <c r="D96" s="534"/>
      <c r="E96" s="523"/>
      <c r="F96" s="522"/>
      <c r="G96" s="523"/>
      <c r="H96" s="559"/>
      <c r="I96" s="559"/>
      <c r="J96" s="559"/>
      <c r="K96" s="559"/>
      <c r="L96" s="90"/>
      <c r="M96" s="84"/>
      <c r="N96" s="84"/>
      <c r="O96" s="84"/>
      <c r="P96" s="84"/>
      <c r="Q96" s="84"/>
      <c r="R96" s="100"/>
      <c r="S96" s="101"/>
      <c r="T96" s="100"/>
      <c r="U96" s="559"/>
      <c r="V96" s="599"/>
      <c r="W96" s="74"/>
      <c r="X96" s="73"/>
      <c r="Y96" s="73"/>
      <c r="Z96" s="73"/>
      <c r="AA96" s="73"/>
      <c r="AB96" s="73"/>
      <c r="AC96" s="73"/>
      <c r="AD96" s="73"/>
      <c r="AE96" s="73"/>
      <c r="AF96" s="73"/>
      <c r="AG96" s="77"/>
    </row>
    <row r="97" spans="1:33" ht="24.75" hidden="1" customHeight="1">
      <c r="A97" s="73"/>
      <c r="B97" s="533"/>
      <c r="C97" s="534"/>
      <c r="D97" s="534"/>
      <c r="E97" s="523"/>
      <c r="F97" s="524"/>
      <c r="G97" s="525"/>
      <c r="H97" s="560"/>
      <c r="I97" s="560"/>
      <c r="J97" s="560"/>
      <c r="K97" s="560"/>
      <c r="L97" s="90"/>
      <c r="M97" s="84"/>
      <c r="N97" s="84"/>
      <c r="O97" s="84"/>
      <c r="P97" s="84"/>
      <c r="Q97" s="84"/>
      <c r="R97" s="100"/>
      <c r="S97" s="101"/>
      <c r="T97" s="100"/>
      <c r="U97" s="560"/>
      <c r="V97" s="600"/>
      <c r="W97" s="74"/>
      <c r="X97" s="73"/>
      <c r="Y97" s="73"/>
      <c r="Z97" s="73"/>
      <c r="AA97" s="73"/>
      <c r="AB97" s="73"/>
      <c r="AC97" s="73"/>
      <c r="AD97" s="73"/>
      <c r="AE97" s="73"/>
      <c r="AF97" s="73"/>
      <c r="AG97" s="77"/>
    </row>
    <row r="98" spans="1:33" ht="24.75" hidden="1" customHeight="1">
      <c r="A98" s="73"/>
      <c r="B98" s="533"/>
      <c r="C98" s="534"/>
      <c r="D98" s="534"/>
      <c r="E98" s="523"/>
      <c r="F98" s="520"/>
      <c r="G98" s="521"/>
      <c r="H98" s="571"/>
      <c r="I98" s="569"/>
      <c r="J98" s="568"/>
      <c r="K98" s="558"/>
      <c r="L98" s="90"/>
      <c r="M98" s="100"/>
      <c r="N98" s="100"/>
      <c r="O98" s="100"/>
      <c r="P98" s="100"/>
      <c r="Q98" s="100"/>
      <c r="R98" s="100"/>
      <c r="S98" s="101"/>
      <c r="T98" s="100"/>
      <c r="U98" s="597"/>
      <c r="V98" s="662"/>
      <c r="W98" s="74"/>
      <c r="X98" s="73"/>
      <c r="Y98" s="73"/>
      <c r="Z98" s="73"/>
      <c r="AA98" s="73"/>
      <c r="AB98" s="73"/>
      <c r="AC98" s="73"/>
      <c r="AD98" s="73"/>
      <c r="AE98" s="73"/>
      <c r="AF98" s="73"/>
      <c r="AG98" s="77"/>
    </row>
    <row r="99" spans="1:33" ht="24.75" hidden="1" customHeight="1">
      <c r="A99" s="73"/>
      <c r="B99" s="533"/>
      <c r="C99" s="534"/>
      <c r="D99" s="534"/>
      <c r="E99" s="523"/>
      <c r="F99" s="522"/>
      <c r="G99" s="523"/>
      <c r="H99" s="559"/>
      <c r="I99" s="559"/>
      <c r="J99" s="559"/>
      <c r="K99" s="559"/>
      <c r="L99" s="90"/>
      <c r="M99" s="100"/>
      <c r="N99" s="100"/>
      <c r="O99" s="100"/>
      <c r="P99" s="100"/>
      <c r="Q99" s="100"/>
      <c r="R99" s="100"/>
      <c r="S99" s="101"/>
      <c r="T99" s="100"/>
      <c r="U99" s="559"/>
      <c r="V99" s="599"/>
      <c r="W99" s="74"/>
      <c r="X99" s="73"/>
      <c r="Y99" s="73"/>
      <c r="Z99" s="73"/>
      <c r="AA99" s="73"/>
      <c r="AB99" s="73"/>
      <c r="AC99" s="73"/>
      <c r="AD99" s="73"/>
      <c r="AE99" s="73"/>
      <c r="AF99" s="73"/>
      <c r="AG99" s="77"/>
    </row>
    <row r="100" spans="1:33" ht="24.75" hidden="1" customHeight="1">
      <c r="A100" s="73"/>
      <c r="B100" s="533"/>
      <c r="C100" s="534"/>
      <c r="D100" s="534"/>
      <c r="E100" s="523"/>
      <c r="F100" s="524"/>
      <c r="G100" s="525"/>
      <c r="H100" s="560"/>
      <c r="I100" s="560"/>
      <c r="J100" s="560"/>
      <c r="K100" s="560"/>
      <c r="L100" s="90"/>
      <c r="M100" s="100"/>
      <c r="N100" s="100"/>
      <c r="O100" s="100"/>
      <c r="P100" s="100"/>
      <c r="Q100" s="100"/>
      <c r="R100" s="100"/>
      <c r="S100" s="101"/>
      <c r="T100" s="100"/>
      <c r="U100" s="560"/>
      <c r="V100" s="600"/>
      <c r="W100" s="74"/>
      <c r="X100" s="73"/>
      <c r="Y100" s="73"/>
      <c r="Z100" s="73"/>
      <c r="AA100" s="73"/>
      <c r="AB100" s="73"/>
      <c r="AC100" s="73"/>
      <c r="AD100" s="73"/>
      <c r="AE100" s="73"/>
      <c r="AF100" s="73"/>
      <c r="AG100" s="77"/>
    </row>
    <row r="101" spans="1:33" ht="24.75" hidden="1" customHeight="1">
      <c r="A101" s="73"/>
      <c r="B101" s="533"/>
      <c r="C101" s="534"/>
      <c r="D101" s="534"/>
      <c r="E101" s="523"/>
      <c r="F101" s="520"/>
      <c r="G101" s="521"/>
      <c r="H101" s="571"/>
      <c r="I101" s="569"/>
      <c r="J101" s="568"/>
      <c r="K101" s="558"/>
      <c r="L101" s="90"/>
      <c r="M101" s="100"/>
      <c r="N101" s="100"/>
      <c r="O101" s="100"/>
      <c r="P101" s="100"/>
      <c r="Q101" s="100"/>
      <c r="R101" s="100"/>
      <c r="S101" s="101"/>
      <c r="T101" s="100"/>
      <c r="U101" s="597"/>
      <c r="V101" s="662"/>
      <c r="W101" s="74"/>
      <c r="X101" s="73"/>
      <c r="Y101" s="73"/>
      <c r="Z101" s="73"/>
      <c r="AA101" s="73"/>
      <c r="AB101" s="73"/>
      <c r="AC101" s="73"/>
      <c r="AD101" s="73"/>
      <c r="AE101" s="73"/>
      <c r="AF101" s="73"/>
      <c r="AG101" s="77"/>
    </row>
    <row r="102" spans="1:33" ht="24.75" hidden="1" customHeight="1">
      <c r="A102" s="73"/>
      <c r="B102" s="533"/>
      <c r="C102" s="534"/>
      <c r="D102" s="534"/>
      <c r="E102" s="523"/>
      <c r="F102" s="522"/>
      <c r="G102" s="523"/>
      <c r="H102" s="559"/>
      <c r="I102" s="559"/>
      <c r="J102" s="559"/>
      <c r="K102" s="559"/>
      <c r="L102" s="90"/>
      <c r="M102" s="100"/>
      <c r="N102" s="100"/>
      <c r="O102" s="100"/>
      <c r="P102" s="100"/>
      <c r="Q102" s="100"/>
      <c r="R102" s="100"/>
      <c r="S102" s="101"/>
      <c r="T102" s="100"/>
      <c r="U102" s="559"/>
      <c r="V102" s="599"/>
      <c r="W102" s="74"/>
      <c r="X102" s="73"/>
      <c r="Y102" s="73"/>
      <c r="Z102" s="73"/>
      <c r="AA102" s="73"/>
      <c r="AB102" s="73"/>
      <c r="AC102" s="73"/>
      <c r="AD102" s="73"/>
      <c r="AE102" s="73"/>
      <c r="AF102" s="73"/>
      <c r="AG102" s="77"/>
    </row>
    <row r="103" spans="1:33" ht="24.75" hidden="1" customHeight="1">
      <c r="A103" s="73"/>
      <c r="B103" s="612"/>
      <c r="C103" s="613"/>
      <c r="D103" s="613"/>
      <c r="E103" s="614"/>
      <c r="F103" s="616"/>
      <c r="G103" s="614"/>
      <c r="H103" s="617"/>
      <c r="I103" s="617"/>
      <c r="J103" s="617"/>
      <c r="K103" s="617"/>
      <c r="L103" s="102"/>
      <c r="M103" s="99"/>
      <c r="N103" s="99"/>
      <c r="O103" s="99"/>
      <c r="P103" s="99"/>
      <c r="Q103" s="99"/>
      <c r="R103" s="99"/>
      <c r="S103" s="103"/>
      <c r="T103" s="99"/>
      <c r="U103" s="617"/>
      <c r="V103" s="599"/>
      <c r="W103" s="74"/>
      <c r="X103" s="73"/>
      <c r="Y103" s="73"/>
      <c r="Z103" s="73"/>
      <c r="AA103" s="73"/>
      <c r="AB103" s="73"/>
      <c r="AC103" s="73"/>
      <c r="AD103" s="73"/>
      <c r="AE103" s="73"/>
      <c r="AF103" s="73"/>
      <c r="AG103" s="77"/>
    </row>
    <row r="104" spans="1:33" ht="24.75" hidden="1" customHeight="1">
      <c r="A104" s="73"/>
      <c r="B104" s="530"/>
      <c r="C104" s="531"/>
      <c r="D104" s="531"/>
      <c r="E104" s="532"/>
      <c r="F104" s="537"/>
      <c r="G104" s="532"/>
      <c r="H104" s="573"/>
      <c r="I104" s="579"/>
      <c r="J104" s="573"/>
      <c r="K104" s="574"/>
      <c r="L104" s="93"/>
      <c r="M104" s="96"/>
      <c r="N104" s="96"/>
      <c r="O104" s="96"/>
      <c r="P104" s="96"/>
      <c r="Q104" s="96"/>
      <c r="R104" s="96"/>
      <c r="S104" s="97"/>
      <c r="T104" s="96"/>
      <c r="U104" s="97"/>
      <c r="V104" s="104"/>
      <c r="W104" s="74"/>
      <c r="X104" s="73"/>
      <c r="Y104" s="73"/>
      <c r="Z104" s="73"/>
      <c r="AA104" s="73"/>
      <c r="AB104" s="73"/>
      <c r="AC104" s="73"/>
      <c r="AD104" s="73"/>
      <c r="AE104" s="73"/>
      <c r="AF104" s="73"/>
      <c r="AG104" s="77"/>
    </row>
    <row r="105" spans="1:33" ht="24.75" hidden="1" customHeight="1">
      <c r="A105" s="73"/>
      <c r="B105" s="533"/>
      <c r="C105" s="534"/>
      <c r="D105" s="534"/>
      <c r="E105" s="523"/>
      <c r="F105" s="522"/>
      <c r="G105" s="523"/>
      <c r="H105" s="559"/>
      <c r="I105" s="559"/>
      <c r="J105" s="559"/>
      <c r="K105" s="559"/>
      <c r="L105" s="90"/>
      <c r="M105" s="100"/>
      <c r="N105" s="100"/>
      <c r="O105" s="100"/>
      <c r="P105" s="100"/>
      <c r="Q105" s="100"/>
      <c r="R105" s="100"/>
      <c r="S105" s="101"/>
      <c r="T105" s="100"/>
      <c r="U105" s="101"/>
      <c r="V105" s="105"/>
      <c r="W105" s="74"/>
      <c r="X105" s="73"/>
      <c r="Y105" s="73"/>
      <c r="Z105" s="73"/>
      <c r="AA105" s="73"/>
      <c r="AB105" s="73"/>
      <c r="AC105" s="73"/>
      <c r="AD105" s="73"/>
      <c r="AE105" s="73"/>
      <c r="AF105" s="73"/>
      <c r="AG105" s="77"/>
    </row>
    <row r="106" spans="1:33" ht="24.75" hidden="1" customHeight="1">
      <c r="A106" s="73"/>
      <c r="B106" s="533"/>
      <c r="C106" s="534"/>
      <c r="D106" s="534"/>
      <c r="E106" s="523"/>
      <c r="F106" s="524"/>
      <c r="G106" s="525"/>
      <c r="H106" s="560"/>
      <c r="I106" s="560"/>
      <c r="J106" s="560"/>
      <c r="K106" s="560"/>
      <c r="L106" s="90"/>
      <c r="M106" s="100"/>
      <c r="N106" s="100"/>
      <c r="O106" s="100"/>
      <c r="P106" s="100"/>
      <c r="Q106" s="100"/>
      <c r="R106" s="100"/>
      <c r="S106" s="101"/>
      <c r="T106" s="100"/>
      <c r="U106" s="101"/>
      <c r="V106" s="105"/>
      <c r="W106" s="74"/>
      <c r="X106" s="73"/>
      <c r="Y106" s="73"/>
      <c r="Z106" s="73"/>
      <c r="AA106" s="73"/>
      <c r="AB106" s="73"/>
      <c r="AC106" s="73"/>
      <c r="AD106" s="73"/>
      <c r="AE106" s="73"/>
      <c r="AF106" s="73"/>
      <c r="AG106" s="77"/>
    </row>
    <row r="107" spans="1:33" ht="24.75" hidden="1" customHeight="1">
      <c r="A107" s="73"/>
      <c r="B107" s="533"/>
      <c r="C107" s="534"/>
      <c r="D107" s="534"/>
      <c r="E107" s="523"/>
      <c r="F107" s="520"/>
      <c r="G107" s="521"/>
      <c r="H107" s="568"/>
      <c r="I107" s="569"/>
      <c r="J107" s="568"/>
      <c r="K107" s="558"/>
      <c r="L107" s="90"/>
      <c r="M107" s="100"/>
      <c r="N107" s="100"/>
      <c r="O107" s="100"/>
      <c r="P107" s="100"/>
      <c r="Q107" s="100"/>
      <c r="R107" s="100"/>
      <c r="S107" s="101"/>
      <c r="T107" s="100"/>
      <c r="U107" s="101"/>
      <c r="V107" s="105"/>
      <c r="W107" s="74"/>
      <c r="X107" s="73"/>
      <c r="Y107" s="73"/>
      <c r="Z107" s="73"/>
      <c r="AA107" s="73"/>
      <c r="AB107" s="73"/>
      <c r="AC107" s="73"/>
      <c r="AD107" s="73"/>
      <c r="AE107" s="73"/>
      <c r="AF107" s="73"/>
      <c r="AG107" s="77"/>
    </row>
    <row r="108" spans="1:33" ht="24.75" hidden="1" customHeight="1">
      <c r="A108" s="73"/>
      <c r="B108" s="533"/>
      <c r="C108" s="534"/>
      <c r="D108" s="534"/>
      <c r="E108" s="523"/>
      <c r="F108" s="522"/>
      <c r="G108" s="523"/>
      <c r="H108" s="559"/>
      <c r="I108" s="559"/>
      <c r="J108" s="559"/>
      <c r="K108" s="559"/>
      <c r="L108" s="90"/>
      <c r="M108" s="100"/>
      <c r="N108" s="100"/>
      <c r="O108" s="100"/>
      <c r="P108" s="100"/>
      <c r="Q108" s="100"/>
      <c r="R108" s="100"/>
      <c r="S108" s="101"/>
      <c r="T108" s="100"/>
      <c r="U108" s="101"/>
      <c r="V108" s="105"/>
      <c r="W108" s="74"/>
      <c r="X108" s="73"/>
      <c r="Y108" s="73"/>
      <c r="Z108" s="73"/>
      <c r="AA108" s="73"/>
      <c r="AB108" s="73"/>
      <c r="AC108" s="73"/>
      <c r="AD108" s="73"/>
      <c r="AE108" s="73"/>
      <c r="AF108" s="73"/>
      <c r="AG108" s="77"/>
    </row>
    <row r="109" spans="1:33" ht="24.75" hidden="1" customHeight="1">
      <c r="A109" s="73"/>
      <c r="B109" s="533"/>
      <c r="C109" s="534"/>
      <c r="D109" s="534"/>
      <c r="E109" s="523"/>
      <c r="F109" s="524"/>
      <c r="G109" s="525"/>
      <c r="H109" s="560"/>
      <c r="I109" s="560"/>
      <c r="J109" s="560"/>
      <c r="K109" s="560"/>
      <c r="L109" s="90"/>
      <c r="M109" s="100"/>
      <c r="N109" s="100"/>
      <c r="O109" s="100"/>
      <c r="P109" s="100"/>
      <c r="Q109" s="100"/>
      <c r="R109" s="100"/>
      <c r="S109" s="101"/>
      <c r="T109" s="100"/>
      <c r="U109" s="101"/>
      <c r="V109" s="105"/>
      <c r="W109" s="74"/>
      <c r="X109" s="73"/>
      <c r="Y109" s="73"/>
      <c r="Z109" s="73"/>
      <c r="AA109" s="73"/>
      <c r="AB109" s="73"/>
      <c r="AC109" s="73"/>
      <c r="AD109" s="73"/>
      <c r="AE109" s="73"/>
      <c r="AF109" s="73"/>
      <c r="AG109" s="77"/>
    </row>
    <row r="110" spans="1:33" ht="24.75" hidden="1" customHeight="1">
      <c r="A110" s="73"/>
      <c r="B110" s="533"/>
      <c r="C110" s="534"/>
      <c r="D110" s="534"/>
      <c r="E110" s="523"/>
      <c r="F110" s="520"/>
      <c r="G110" s="521"/>
      <c r="H110" s="568"/>
      <c r="I110" s="569"/>
      <c r="J110" s="568"/>
      <c r="K110" s="558"/>
      <c r="L110" s="90"/>
      <c r="M110" s="100"/>
      <c r="N110" s="100"/>
      <c r="O110" s="100"/>
      <c r="P110" s="100"/>
      <c r="Q110" s="100"/>
      <c r="R110" s="100"/>
      <c r="S110" s="101"/>
      <c r="T110" s="100"/>
      <c r="U110" s="101"/>
      <c r="V110" s="105"/>
      <c r="W110" s="74"/>
      <c r="X110" s="73"/>
      <c r="Y110" s="73"/>
      <c r="Z110" s="73"/>
      <c r="AA110" s="73"/>
      <c r="AB110" s="73"/>
      <c r="AC110" s="73"/>
      <c r="AD110" s="73"/>
      <c r="AE110" s="73"/>
      <c r="AF110" s="73"/>
      <c r="AG110" s="77"/>
    </row>
    <row r="111" spans="1:33" ht="27.95" customHeight="1" thickBot="1">
      <c r="A111" s="73"/>
      <c r="B111" s="533"/>
      <c r="C111" s="534"/>
      <c r="D111" s="534"/>
      <c r="E111" s="523"/>
      <c r="F111" s="522"/>
      <c r="G111" s="523"/>
      <c r="H111" s="559"/>
      <c r="I111" s="559"/>
      <c r="J111" s="559"/>
      <c r="K111" s="559"/>
      <c r="L111" s="90"/>
      <c r="M111" s="100"/>
      <c r="N111" s="100"/>
      <c r="O111" s="100"/>
      <c r="P111" s="100"/>
      <c r="Q111" s="100"/>
      <c r="R111" s="100"/>
      <c r="S111" s="101"/>
      <c r="T111" s="100"/>
      <c r="U111" s="101"/>
      <c r="V111" s="105"/>
      <c r="W111" s="74"/>
      <c r="X111" s="73"/>
      <c r="Y111" s="73"/>
      <c r="Z111" s="73"/>
      <c r="AA111" s="73"/>
      <c r="AB111" s="73"/>
      <c r="AC111" s="73"/>
      <c r="AD111" s="73"/>
      <c r="AE111" s="73"/>
      <c r="AF111" s="73"/>
      <c r="AG111" s="77"/>
    </row>
    <row r="112" spans="1:33" ht="54.95" customHeight="1" thickBot="1">
      <c r="A112" s="73"/>
      <c r="B112" s="538" t="s">
        <v>364</v>
      </c>
      <c r="C112" s="539"/>
      <c r="D112" s="539"/>
      <c r="E112" s="539"/>
      <c r="F112" s="539"/>
      <c r="G112" s="539"/>
      <c r="H112" s="539"/>
      <c r="I112" s="539"/>
      <c r="J112" s="539"/>
      <c r="K112" s="539"/>
      <c r="L112" s="539"/>
      <c r="M112" s="539"/>
      <c r="N112" s="539"/>
      <c r="O112" s="539"/>
      <c r="P112" s="539"/>
      <c r="Q112" s="539"/>
      <c r="R112" s="539"/>
      <c r="S112" s="539"/>
      <c r="T112" s="539"/>
      <c r="U112" s="580"/>
      <c r="V112" s="286" t="e">
        <f>SUM(V83:V94)</f>
        <v>#DIV/0!</v>
      </c>
      <c r="W112" s="74"/>
      <c r="X112" s="73"/>
      <c r="Y112" s="73"/>
      <c r="Z112" s="73"/>
      <c r="AA112" s="73"/>
      <c r="AB112" s="73"/>
      <c r="AC112" s="73"/>
      <c r="AD112" s="73"/>
      <c r="AE112" s="73"/>
      <c r="AF112" s="73"/>
      <c r="AG112" s="77"/>
    </row>
    <row r="113" spans="1:33" ht="41.1" customHeight="1">
      <c r="A113" s="73"/>
      <c r="B113" s="87"/>
      <c r="C113" s="87"/>
      <c r="D113" s="87"/>
      <c r="E113" s="106"/>
      <c r="F113" s="106"/>
      <c r="G113" s="106"/>
      <c r="H113" s="106"/>
      <c r="I113" s="106"/>
      <c r="J113" s="106"/>
      <c r="K113" s="106"/>
      <c r="L113" s="106"/>
      <c r="M113" s="106"/>
      <c r="N113" s="106"/>
      <c r="O113" s="106"/>
      <c r="P113" s="106"/>
      <c r="Q113" s="106"/>
      <c r="R113" s="106"/>
      <c r="S113" s="106"/>
      <c r="T113" s="106"/>
      <c r="U113" s="106"/>
      <c r="V113" s="86"/>
      <c r="W113" s="107"/>
      <c r="X113" s="73"/>
      <c r="Y113" s="73"/>
      <c r="Z113" s="73"/>
      <c r="AA113" s="73"/>
      <c r="AB113" s="73"/>
      <c r="AC113" s="73"/>
      <c r="AD113" s="73"/>
      <c r="AE113" s="73"/>
      <c r="AF113" s="73"/>
      <c r="AG113" s="77"/>
    </row>
    <row r="114" spans="1:33" ht="101.1" customHeight="1">
      <c r="A114" s="73"/>
      <c r="B114" s="455" t="s">
        <v>614</v>
      </c>
      <c r="C114" s="456"/>
      <c r="D114" s="456"/>
      <c r="E114" s="456"/>
      <c r="F114" s="456"/>
      <c r="G114" s="456"/>
      <c r="H114" s="456"/>
      <c r="I114" s="456"/>
      <c r="J114" s="456"/>
      <c r="K114" s="456"/>
      <c r="L114" s="456"/>
      <c r="M114" s="456"/>
      <c r="N114" s="456"/>
      <c r="O114" s="456"/>
      <c r="P114" s="456"/>
      <c r="Q114" s="456"/>
      <c r="R114" s="456"/>
      <c r="S114" s="74"/>
      <c r="T114" s="73"/>
      <c r="U114" s="73"/>
      <c r="V114" s="73"/>
      <c r="W114" s="73"/>
      <c r="X114" s="73"/>
      <c r="Y114" s="73"/>
      <c r="Z114" s="73"/>
      <c r="AA114" s="73"/>
      <c r="AB114" s="73"/>
      <c r="AC114" s="75"/>
      <c r="AD114" s="75"/>
      <c r="AE114" s="75"/>
      <c r="AF114" s="75"/>
      <c r="AG114" s="75"/>
    </row>
    <row r="115" spans="1:33" ht="13.5" customHeight="1">
      <c r="A115" s="73"/>
      <c r="B115" s="87"/>
      <c r="C115" s="87"/>
      <c r="D115" s="87"/>
      <c r="E115" s="75"/>
      <c r="F115" s="75"/>
      <c r="G115" s="87"/>
      <c r="H115" s="87"/>
      <c r="I115" s="87"/>
      <c r="J115" s="87"/>
      <c r="K115" s="87"/>
      <c r="L115" s="87"/>
      <c r="M115" s="87"/>
      <c r="N115" s="87"/>
      <c r="O115" s="87"/>
      <c r="P115" s="87"/>
      <c r="Q115" s="87"/>
      <c r="R115" s="87"/>
      <c r="S115" s="87"/>
      <c r="T115" s="87"/>
      <c r="U115" s="86"/>
      <c r="V115" s="86"/>
      <c r="W115" s="74"/>
      <c r="X115" s="73"/>
      <c r="Y115" s="73"/>
      <c r="Z115" s="73"/>
      <c r="AA115" s="73"/>
      <c r="AB115" s="73"/>
      <c r="AC115" s="73"/>
      <c r="AD115" s="73"/>
      <c r="AE115" s="73"/>
      <c r="AF115" s="73"/>
      <c r="AG115" s="77"/>
    </row>
    <row r="116" spans="1:33" ht="31.5" customHeight="1">
      <c r="A116" s="73"/>
      <c r="B116" s="457" t="s">
        <v>289</v>
      </c>
      <c r="C116" s="458"/>
      <c r="D116" s="458"/>
      <c r="E116" s="458"/>
      <c r="F116" s="458"/>
      <c r="G116" s="458"/>
      <c r="H116" s="458"/>
      <c r="I116" s="458"/>
      <c r="J116" s="458"/>
      <c r="K116" s="458"/>
      <c r="L116" s="458"/>
      <c r="M116" s="458"/>
      <c r="N116" s="458"/>
      <c r="O116" s="458"/>
      <c r="P116" s="458"/>
      <c r="Q116" s="458"/>
      <c r="R116" s="459"/>
      <c r="S116" s="588" t="s">
        <v>9</v>
      </c>
      <c r="T116" s="462"/>
      <c r="U116" s="462"/>
      <c r="V116" s="463"/>
      <c r="W116" s="74"/>
      <c r="X116" s="73"/>
      <c r="Y116" s="73"/>
      <c r="Z116" s="73"/>
      <c r="AA116" s="73"/>
      <c r="AB116" s="73"/>
      <c r="AC116" s="73"/>
      <c r="AD116" s="73"/>
      <c r="AE116" s="73"/>
      <c r="AF116" s="73"/>
      <c r="AG116" s="77"/>
    </row>
    <row r="117" spans="1:33" ht="62.25" customHeight="1">
      <c r="A117" s="79"/>
      <c r="B117" s="589" t="s">
        <v>365</v>
      </c>
      <c r="C117" s="531"/>
      <c r="D117" s="531"/>
      <c r="E117" s="461"/>
      <c r="F117" s="589" t="s">
        <v>291</v>
      </c>
      <c r="G117" s="531"/>
      <c r="H117" s="531"/>
      <c r="I117" s="593"/>
      <c r="J117" s="583" t="s">
        <v>11</v>
      </c>
      <c r="K117" s="587" t="s">
        <v>12</v>
      </c>
      <c r="L117" s="595" t="s">
        <v>581</v>
      </c>
      <c r="M117" s="581" t="s">
        <v>292</v>
      </c>
      <c r="N117" s="428"/>
      <c r="O117" s="428"/>
      <c r="P117" s="428"/>
      <c r="Q117" s="582"/>
      <c r="R117" s="583" t="s">
        <v>14</v>
      </c>
      <c r="S117" s="601" t="s">
        <v>293</v>
      </c>
      <c r="T117" s="602" t="s">
        <v>16</v>
      </c>
      <c r="U117" s="585" t="s">
        <v>17</v>
      </c>
      <c r="V117" s="587" t="s">
        <v>18</v>
      </c>
      <c r="W117" s="80"/>
      <c r="X117" s="79"/>
      <c r="Y117" s="79"/>
      <c r="Z117" s="79"/>
      <c r="AA117" s="79"/>
      <c r="AB117" s="79"/>
      <c r="AC117" s="79"/>
      <c r="AD117" s="79"/>
      <c r="AE117" s="79"/>
      <c r="AF117" s="79"/>
      <c r="AG117" s="88"/>
    </row>
    <row r="118" spans="1:33" ht="51" customHeight="1">
      <c r="A118" s="73"/>
      <c r="B118" s="590"/>
      <c r="C118" s="591"/>
      <c r="D118" s="591"/>
      <c r="E118" s="592"/>
      <c r="F118" s="590"/>
      <c r="G118" s="591"/>
      <c r="H118" s="591"/>
      <c r="I118" s="594"/>
      <c r="J118" s="584"/>
      <c r="K118" s="584"/>
      <c r="L118" s="586"/>
      <c r="M118" s="89" t="s">
        <v>19</v>
      </c>
      <c r="N118" s="89" t="s">
        <v>20</v>
      </c>
      <c r="O118" s="89" t="s">
        <v>21</v>
      </c>
      <c r="P118" s="89" t="s">
        <v>22</v>
      </c>
      <c r="Q118" s="89" t="s">
        <v>23</v>
      </c>
      <c r="R118" s="584"/>
      <c r="S118" s="586"/>
      <c r="T118" s="603"/>
      <c r="U118" s="586"/>
      <c r="V118" s="584"/>
      <c r="W118" s="74"/>
      <c r="X118" s="73"/>
      <c r="Y118" s="73"/>
      <c r="Z118" s="73"/>
      <c r="AA118" s="73"/>
      <c r="AB118" s="73"/>
      <c r="AC118" s="73"/>
      <c r="AD118" s="73"/>
      <c r="AE118" s="73"/>
      <c r="AF118" s="73"/>
      <c r="AG118" s="77"/>
    </row>
    <row r="119" spans="1:33" ht="144.94999999999999" customHeight="1">
      <c r="A119" s="73"/>
      <c r="B119" s="570" t="s">
        <v>366</v>
      </c>
      <c r="C119" s="542"/>
      <c r="D119" s="542"/>
      <c r="E119" s="506"/>
      <c r="F119" s="545" t="s">
        <v>367</v>
      </c>
      <c r="G119" s="546"/>
      <c r="H119" s="546"/>
      <c r="I119" s="547"/>
      <c r="J119" s="554"/>
      <c r="K119" s="556">
        <v>0.05</v>
      </c>
      <c r="L119" s="157" t="s">
        <v>32</v>
      </c>
      <c r="M119" s="94" t="s">
        <v>368</v>
      </c>
      <c r="N119" s="82" t="s">
        <v>369</v>
      </c>
      <c r="O119" s="82" t="s">
        <v>370</v>
      </c>
      <c r="P119" s="82" t="s">
        <v>371</v>
      </c>
      <c r="Q119" s="82" t="s">
        <v>372</v>
      </c>
      <c r="R119" s="514" t="s">
        <v>546</v>
      </c>
      <c r="S119" s="606"/>
      <c r="T119" s="256"/>
      <c r="U119" s="596" t="e">
        <f>AVERAGE(T119:T121)</f>
        <v>#DIV/0!</v>
      </c>
      <c r="V119" s="607" t="e">
        <f>U119*K119</f>
        <v>#DIV/0!</v>
      </c>
      <c r="W119" s="74"/>
      <c r="X119" s="73"/>
      <c r="Y119" s="73"/>
      <c r="Z119" s="73"/>
      <c r="AA119" s="73"/>
      <c r="AB119" s="73"/>
      <c r="AC119" s="73"/>
      <c r="AD119" s="73"/>
      <c r="AE119" s="73"/>
      <c r="AF119" s="73"/>
      <c r="AG119" s="77"/>
    </row>
    <row r="120" spans="1:33" ht="158.44999999999999" customHeight="1">
      <c r="A120" s="73"/>
      <c r="B120" s="543"/>
      <c r="C120" s="456"/>
      <c r="D120" s="456"/>
      <c r="E120" s="476"/>
      <c r="F120" s="548"/>
      <c r="G120" s="549"/>
      <c r="H120" s="549"/>
      <c r="I120" s="550"/>
      <c r="J120" s="336"/>
      <c r="K120" s="480"/>
      <c r="L120" s="155" t="s">
        <v>34</v>
      </c>
      <c r="M120" s="108" t="s">
        <v>373</v>
      </c>
      <c r="N120" s="83" t="s">
        <v>374</v>
      </c>
      <c r="O120" s="83" t="s">
        <v>375</v>
      </c>
      <c r="P120" s="83" t="s">
        <v>376</v>
      </c>
      <c r="Q120" s="83" t="s">
        <v>377</v>
      </c>
      <c r="R120" s="604"/>
      <c r="S120" s="480"/>
      <c r="T120" s="256"/>
      <c r="U120" s="480"/>
      <c r="V120" s="608"/>
      <c r="W120" s="74"/>
      <c r="X120" s="73"/>
      <c r="Y120" s="73"/>
      <c r="Z120" s="73"/>
      <c r="AA120" s="73"/>
      <c r="AB120" s="73"/>
      <c r="AC120" s="73"/>
      <c r="AD120" s="73"/>
      <c r="AE120" s="73"/>
      <c r="AF120" s="73"/>
      <c r="AG120" s="77"/>
    </row>
    <row r="121" spans="1:33" ht="176.45" customHeight="1">
      <c r="A121" s="73"/>
      <c r="B121" s="544"/>
      <c r="C121" s="477"/>
      <c r="D121" s="477"/>
      <c r="E121" s="478"/>
      <c r="F121" s="551"/>
      <c r="G121" s="552"/>
      <c r="H121" s="552"/>
      <c r="I121" s="553"/>
      <c r="J121" s="555"/>
      <c r="K121" s="413"/>
      <c r="L121" s="156" t="s">
        <v>36</v>
      </c>
      <c r="M121" s="109" t="s">
        <v>378</v>
      </c>
      <c r="N121" s="109" t="s">
        <v>379</v>
      </c>
      <c r="O121" s="109" t="s">
        <v>380</v>
      </c>
      <c r="P121" s="109" t="s">
        <v>381</v>
      </c>
      <c r="Q121" s="109" t="s">
        <v>382</v>
      </c>
      <c r="R121" s="605"/>
      <c r="S121" s="413"/>
      <c r="T121" s="256"/>
      <c r="U121" s="413"/>
      <c r="V121" s="389"/>
      <c r="W121" s="74"/>
      <c r="X121" s="73"/>
      <c r="Y121" s="73"/>
      <c r="Z121" s="73"/>
      <c r="AA121" s="73"/>
      <c r="AB121" s="73"/>
      <c r="AC121" s="73"/>
      <c r="AD121" s="73"/>
      <c r="AE121" s="73"/>
      <c r="AF121" s="73"/>
      <c r="AG121" s="77"/>
    </row>
    <row r="122" spans="1:33" ht="180.6" customHeight="1">
      <c r="A122" s="91"/>
      <c r="B122" s="541" t="s">
        <v>383</v>
      </c>
      <c r="C122" s="542"/>
      <c r="D122" s="542"/>
      <c r="E122" s="506"/>
      <c r="F122" s="545" t="s">
        <v>384</v>
      </c>
      <c r="G122" s="546"/>
      <c r="H122" s="546"/>
      <c r="I122" s="547"/>
      <c r="J122" s="554"/>
      <c r="K122" s="556">
        <v>0.05</v>
      </c>
      <c r="L122" s="157" t="s">
        <v>32</v>
      </c>
      <c r="M122" s="82" t="s">
        <v>385</v>
      </c>
      <c r="N122" s="110" t="s">
        <v>386</v>
      </c>
      <c r="O122" s="82" t="s">
        <v>387</v>
      </c>
      <c r="P122" s="82" t="s">
        <v>388</v>
      </c>
      <c r="Q122" s="82" t="s">
        <v>389</v>
      </c>
      <c r="R122" s="514" t="s">
        <v>547</v>
      </c>
      <c r="S122" s="606"/>
      <c r="T122" s="256"/>
      <c r="U122" s="596" t="e">
        <f>AVERAGE(T122:T124)</f>
        <v>#DIV/0!</v>
      </c>
      <c r="V122" s="607" t="e">
        <f>U122*K122</f>
        <v>#DIV/0!</v>
      </c>
      <c r="W122" s="74"/>
      <c r="X122" s="73"/>
      <c r="Y122" s="73"/>
      <c r="Z122" s="73"/>
      <c r="AA122" s="73"/>
      <c r="AB122" s="73"/>
      <c r="AC122" s="73"/>
      <c r="AD122" s="73"/>
      <c r="AE122" s="73"/>
      <c r="AF122" s="73"/>
      <c r="AG122" s="77"/>
    </row>
    <row r="123" spans="1:33" ht="167.45" customHeight="1" thickBot="1">
      <c r="A123" s="73"/>
      <c r="B123" s="543"/>
      <c r="C123" s="456"/>
      <c r="D123" s="456"/>
      <c r="E123" s="476"/>
      <c r="F123" s="548"/>
      <c r="G123" s="549"/>
      <c r="H123" s="549"/>
      <c r="I123" s="550"/>
      <c r="J123" s="336"/>
      <c r="K123" s="480"/>
      <c r="L123" s="155" t="s">
        <v>34</v>
      </c>
      <c r="M123" s="85" t="s">
        <v>390</v>
      </c>
      <c r="N123" s="85" t="s">
        <v>585</v>
      </c>
      <c r="O123" s="85" t="s">
        <v>586</v>
      </c>
      <c r="P123" s="85" t="s">
        <v>587</v>
      </c>
      <c r="Q123" s="85" t="s">
        <v>588</v>
      </c>
      <c r="R123" s="604"/>
      <c r="S123" s="480"/>
      <c r="T123" s="256"/>
      <c r="U123" s="480"/>
      <c r="V123" s="608"/>
      <c r="W123" s="74"/>
      <c r="X123" s="73"/>
      <c r="Y123" s="73"/>
      <c r="Z123" s="73"/>
      <c r="AA123" s="73"/>
      <c r="AB123" s="73"/>
      <c r="AC123" s="73"/>
      <c r="AD123" s="73"/>
      <c r="AE123" s="73"/>
      <c r="AF123" s="73"/>
      <c r="AG123" s="77"/>
    </row>
    <row r="124" spans="1:33" ht="31.5" customHeight="1" thickBot="1">
      <c r="A124" s="73"/>
      <c r="B124" s="544"/>
      <c r="C124" s="477"/>
      <c r="D124" s="477"/>
      <c r="E124" s="478"/>
      <c r="F124" s="551"/>
      <c r="G124" s="552"/>
      <c r="H124" s="552"/>
      <c r="I124" s="553"/>
      <c r="J124" s="555"/>
      <c r="K124" s="413"/>
      <c r="L124" s="156" t="s">
        <v>36</v>
      </c>
      <c r="M124" s="111"/>
      <c r="N124" s="111"/>
      <c r="O124" s="111"/>
      <c r="P124" s="111"/>
      <c r="Q124" s="111"/>
      <c r="R124" s="605"/>
      <c r="S124" s="413"/>
      <c r="T124" s="297"/>
      <c r="U124" s="413"/>
      <c r="V124" s="389"/>
      <c r="W124" s="74"/>
      <c r="X124" s="73"/>
      <c r="Y124" s="73"/>
      <c r="Z124" s="73"/>
      <c r="AA124" s="73"/>
      <c r="AB124" s="73"/>
      <c r="AC124" s="73"/>
      <c r="AD124" s="73"/>
      <c r="AE124" s="73"/>
      <c r="AF124" s="73"/>
      <c r="AG124" s="77"/>
    </row>
    <row r="125" spans="1:33" ht="93" customHeight="1" thickBot="1">
      <c r="A125" s="73"/>
      <c r="B125" s="541" t="s">
        <v>391</v>
      </c>
      <c r="C125" s="542"/>
      <c r="D125" s="542"/>
      <c r="E125" s="506"/>
      <c r="F125" s="545" t="s">
        <v>392</v>
      </c>
      <c r="G125" s="546"/>
      <c r="H125" s="546"/>
      <c r="I125" s="547"/>
      <c r="J125" s="554"/>
      <c r="K125" s="556">
        <v>0.05</v>
      </c>
      <c r="L125" s="157" t="s">
        <v>32</v>
      </c>
      <c r="M125" s="82" t="s">
        <v>393</v>
      </c>
      <c r="N125" s="82" t="s">
        <v>394</v>
      </c>
      <c r="O125" s="82" t="s">
        <v>395</v>
      </c>
      <c r="P125" s="82" t="s">
        <v>396</v>
      </c>
      <c r="Q125" s="82" t="s">
        <v>397</v>
      </c>
      <c r="R125" s="514" t="s">
        <v>548</v>
      </c>
      <c r="S125" s="606"/>
      <c r="T125" s="256"/>
      <c r="U125" s="596" t="e">
        <f>AVERAGE(T125:T127)</f>
        <v>#DIV/0!</v>
      </c>
      <c r="V125" s="607" t="e">
        <f>U125*K125</f>
        <v>#DIV/0!</v>
      </c>
      <c r="W125" s="74"/>
      <c r="X125" s="73"/>
      <c r="Y125" s="73"/>
      <c r="Z125" s="73"/>
      <c r="AA125" s="73"/>
      <c r="AB125" s="73"/>
      <c r="AC125" s="73"/>
      <c r="AD125" s="73"/>
      <c r="AE125" s="73"/>
      <c r="AF125" s="73"/>
      <c r="AG125" s="77"/>
    </row>
    <row r="126" spans="1:33" ht="111.6" customHeight="1">
      <c r="A126" s="73"/>
      <c r="B126" s="543"/>
      <c r="C126" s="456"/>
      <c r="D126" s="456"/>
      <c r="E126" s="476"/>
      <c r="F126" s="548"/>
      <c r="G126" s="549"/>
      <c r="H126" s="549"/>
      <c r="I126" s="550"/>
      <c r="J126" s="336"/>
      <c r="K126" s="480"/>
      <c r="L126" s="155" t="s">
        <v>34</v>
      </c>
      <c r="M126" s="85" t="s">
        <v>398</v>
      </c>
      <c r="N126" s="85" t="s">
        <v>399</v>
      </c>
      <c r="O126" s="85" t="s">
        <v>400</v>
      </c>
      <c r="P126" s="85" t="s">
        <v>401</v>
      </c>
      <c r="Q126" s="85" t="s">
        <v>402</v>
      </c>
      <c r="R126" s="604"/>
      <c r="S126" s="480"/>
      <c r="T126" s="256"/>
      <c r="U126" s="480"/>
      <c r="V126" s="608"/>
      <c r="W126" s="74"/>
      <c r="X126" s="73"/>
      <c r="Y126" s="73"/>
      <c r="Z126" s="73"/>
      <c r="AA126" s="73"/>
      <c r="AB126" s="73"/>
      <c r="AC126" s="73"/>
      <c r="AD126" s="73"/>
      <c r="AE126" s="73"/>
      <c r="AF126" s="73"/>
      <c r="AG126" s="77"/>
    </row>
    <row r="127" spans="1:33" ht="116.45" customHeight="1" thickBot="1">
      <c r="A127" s="73"/>
      <c r="B127" s="544"/>
      <c r="C127" s="477"/>
      <c r="D127" s="477"/>
      <c r="E127" s="478"/>
      <c r="F127" s="551"/>
      <c r="G127" s="552"/>
      <c r="H127" s="552"/>
      <c r="I127" s="553"/>
      <c r="J127" s="555"/>
      <c r="K127" s="413"/>
      <c r="L127" s="156" t="s">
        <v>36</v>
      </c>
      <c r="M127" s="112" t="s">
        <v>403</v>
      </c>
      <c r="N127" s="113"/>
      <c r="O127" s="112" t="s">
        <v>404</v>
      </c>
      <c r="P127" s="113"/>
      <c r="Q127" s="112" t="s">
        <v>405</v>
      </c>
      <c r="R127" s="605"/>
      <c r="S127" s="413"/>
      <c r="T127" s="256"/>
      <c r="U127" s="413"/>
      <c r="V127" s="389"/>
      <c r="W127" s="74"/>
      <c r="X127" s="73"/>
      <c r="Y127" s="73"/>
      <c r="Z127" s="73"/>
      <c r="AA127" s="73"/>
      <c r="AB127" s="73"/>
      <c r="AC127" s="73"/>
      <c r="AD127" s="73"/>
      <c r="AE127" s="73"/>
      <c r="AF127" s="73"/>
      <c r="AG127" s="77"/>
    </row>
    <row r="128" spans="1:33" ht="24.75" hidden="1" customHeight="1">
      <c r="A128" s="73"/>
      <c r="B128" s="557"/>
      <c r="C128" s="534"/>
      <c r="D128" s="534"/>
      <c r="E128" s="523"/>
      <c r="F128" s="572"/>
      <c r="G128" s="523"/>
      <c r="H128" s="575"/>
      <c r="I128" s="576"/>
      <c r="J128" s="577"/>
      <c r="K128" s="578"/>
      <c r="L128" s="92"/>
      <c r="M128" s="114"/>
      <c r="N128" s="114"/>
      <c r="O128" s="114"/>
      <c r="P128" s="114"/>
      <c r="Q128" s="114"/>
      <c r="R128" s="98"/>
      <c r="S128" s="115"/>
      <c r="T128" s="98"/>
      <c r="U128" s="609"/>
      <c r="V128" s="610"/>
      <c r="W128" s="74"/>
      <c r="X128" s="73"/>
      <c r="Y128" s="73"/>
      <c r="Z128" s="73"/>
      <c r="AA128" s="73"/>
      <c r="AB128" s="73"/>
      <c r="AC128" s="73"/>
      <c r="AD128" s="73"/>
      <c r="AE128" s="73"/>
      <c r="AF128" s="73"/>
      <c r="AG128" s="77"/>
    </row>
    <row r="129" spans="1:33" ht="24.75" hidden="1" customHeight="1">
      <c r="A129" s="73"/>
      <c r="B129" s="533"/>
      <c r="C129" s="534"/>
      <c r="D129" s="534"/>
      <c r="E129" s="523"/>
      <c r="F129" s="522"/>
      <c r="G129" s="523"/>
      <c r="H129" s="559"/>
      <c r="I129" s="559"/>
      <c r="J129" s="559"/>
      <c r="K129" s="559"/>
      <c r="L129" s="90"/>
      <c r="M129" s="84"/>
      <c r="N129" s="84"/>
      <c r="O129" s="84"/>
      <c r="P129" s="84"/>
      <c r="Q129" s="84"/>
      <c r="R129" s="100"/>
      <c r="S129" s="101"/>
      <c r="T129" s="100"/>
      <c r="U129" s="559"/>
      <c r="V129" s="599"/>
      <c r="W129" s="74"/>
      <c r="X129" s="73"/>
      <c r="Y129" s="73"/>
      <c r="Z129" s="73"/>
      <c r="AA129" s="73"/>
      <c r="AB129" s="73"/>
      <c r="AC129" s="73"/>
      <c r="AD129" s="73"/>
      <c r="AE129" s="73"/>
      <c r="AF129" s="73"/>
      <c r="AG129" s="77"/>
    </row>
    <row r="130" spans="1:33" ht="24.75" hidden="1" customHeight="1">
      <c r="A130" s="73"/>
      <c r="B130" s="533"/>
      <c r="C130" s="534"/>
      <c r="D130" s="534"/>
      <c r="E130" s="523"/>
      <c r="F130" s="524"/>
      <c r="G130" s="525"/>
      <c r="H130" s="560"/>
      <c r="I130" s="560"/>
      <c r="J130" s="560"/>
      <c r="K130" s="560"/>
      <c r="L130" s="90"/>
      <c r="M130" s="84"/>
      <c r="N130" s="84"/>
      <c r="O130" s="84"/>
      <c r="P130" s="84"/>
      <c r="Q130" s="84"/>
      <c r="R130" s="100"/>
      <c r="S130" s="101"/>
      <c r="T130" s="100"/>
      <c r="U130" s="560"/>
      <c r="V130" s="600"/>
      <c r="W130" s="74"/>
      <c r="X130" s="73"/>
      <c r="Y130" s="73"/>
      <c r="Z130" s="73"/>
      <c r="AA130" s="73"/>
      <c r="AB130" s="73"/>
      <c r="AC130" s="73"/>
      <c r="AD130" s="73"/>
      <c r="AE130" s="73"/>
      <c r="AF130" s="73"/>
      <c r="AG130" s="77"/>
    </row>
    <row r="131" spans="1:33" ht="24.75" hidden="1" customHeight="1">
      <c r="A131" s="73"/>
      <c r="B131" s="533"/>
      <c r="C131" s="534"/>
      <c r="D131" s="534"/>
      <c r="E131" s="523"/>
      <c r="F131" s="520"/>
      <c r="G131" s="521"/>
      <c r="H131" s="571"/>
      <c r="I131" s="569"/>
      <c r="J131" s="568"/>
      <c r="K131" s="558"/>
      <c r="L131" s="90"/>
      <c r="M131" s="100"/>
      <c r="N131" s="100"/>
      <c r="O131" s="100"/>
      <c r="P131" s="100"/>
      <c r="Q131" s="100"/>
      <c r="R131" s="100"/>
      <c r="S131" s="101"/>
      <c r="T131" s="100"/>
      <c r="U131" s="597"/>
      <c r="V131" s="598"/>
      <c r="W131" s="74"/>
      <c r="X131" s="73"/>
      <c r="Y131" s="73"/>
      <c r="Z131" s="73"/>
      <c r="AA131" s="73"/>
      <c r="AB131" s="73"/>
      <c r="AC131" s="73"/>
      <c r="AD131" s="73"/>
      <c r="AE131" s="73"/>
      <c r="AF131" s="73"/>
      <c r="AG131" s="77"/>
    </row>
    <row r="132" spans="1:33" ht="24.75" hidden="1" customHeight="1">
      <c r="A132" s="73"/>
      <c r="B132" s="533"/>
      <c r="C132" s="534"/>
      <c r="D132" s="534"/>
      <c r="E132" s="523"/>
      <c r="F132" s="522"/>
      <c r="G132" s="523"/>
      <c r="H132" s="559"/>
      <c r="I132" s="559"/>
      <c r="J132" s="559"/>
      <c r="K132" s="559"/>
      <c r="L132" s="90"/>
      <c r="M132" s="100"/>
      <c r="N132" s="100"/>
      <c r="O132" s="100"/>
      <c r="P132" s="100"/>
      <c r="Q132" s="100"/>
      <c r="R132" s="100"/>
      <c r="S132" s="101"/>
      <c r="T132" s="100"/>
      <c r="U132" s="559"/>
      <c r="V132" s="599"/>
      <c r="W132" s="74"/>
      <c r="X132" s="73"/>
      <c r="Y132" s="73"/>
      <c r="Z132" s="73"/>
      <c r="AA132" s="73"/>
      <c r="AB132" s="73"/>
      <c r="AC132" s="73"/>
      <c r="AD132" s="73"/>
      <c r="AE132" s="73"/>
      <c r="AF132" s="73"/>
      <c r="AG132" s="77"/>
    </row>
    <row r="133" spans="1:33" ht="24.75" hidden="1" customHeight="1">
      <c r="A133" s="73"/>
      <c r="B133" s="533"/>
      <c r="C133" s="534"/>
      <c r="D133" s="534"/>
      <c r="E133" s="523"/>
      <c r="F133" s="524"/>
      <c r="G133" s="525"/>
      <c r="H133" s="560"/>
      <c r="I133" s="560"/>
      <c r="J133" s="560"/>
      <c r="K133" s="560"/>
      <c r="L133" s="90"/>
      <c r="M133" s="100"/>
      <c r="N133" s="100"/>
      <c r="O133" s="100"/>
      <c r="P133" s="100"/>
      <c r="Q133" s="100"/>
      <c r="R133" s="100"/>
      <c r="S133" s="101"/>
      <c r="T133" s="100"/>
      <c r="U133" s="560"/>
      <c r="V133" s="600"/>
      <c r="W133" s="74"/>
      <c r="X133" s="73"/>
      <c r="Y133" s="73"/>
      <c r="Z133" s="73"/>
      <c r="AA133" s="73"/>
      <c r="AB133" s="73"/>
      <c r="AC133" s="73"/>
      <c r="AD133" s="73"/>
      <c r="AE133" s="73"/>
      <c r="AF133" s="73"/>
      <c r="AG133" s="77"/>
    </row>
    <row r="134" spans="1:33" ht="24.75" hidden="1" customHeight="1">
      <c r="A134" s="73"/>
      <c r="B134" s="533"/>
      <c r="C134" s="534"/>
      <c r="D134" s="534"/>
      <c r="E134" s="523"/>
      <c r="F134" s="520"/>
      <c r="G134" s="521"/>
      <c r="H134" s="571"/>
      <c r="I134" s="569"/>
      <c r="J134" s="568"/>
      <c r="K134" s="558"/>
      <c r="L134" s="90"/>
      <c r="M134" s="100"/>
      <c r="N134" s="100"/>
      <c r="O134" s="100"/>
      <c r="P134" s="100"/>
      <c r="Q134" s="100"/>
      <c r="R134" s="100"/>
      <c r="S134" s="101"/>
      <c r="T134" s="100"/>
      <c r="U134" s="597"/>
      <c r="V134" s="598"/>
      <c r="W134" s="74"/>
      <c r="X134" s="73"/>
      <c r="Y134" s="73"/>
      <c r="Z134" s="73"/>
      <c r="AA134" s="73"/>
      <c r="AB134" s="73"/>
      <c r="AC134" s="73"/>
      <c r="AD134" s="73"/>
      <c r="AE134" s="73"/>
      <c r="AF134" s="73"/>
      <c r="AG134" s="77"/>
    </row>
    <row r="135" spans="1:33" ht="24.75" hidden="1" customHeight="1">
      <c r="A135" s="73"/>
      <c r="B135" s="533"/>
      <c r="C135" s="534"/>
      <c r="D135" s="534"/>
      <c r="E135" s="523"/>
      <c r="F135" s="522"/>
      <c r="G135" s="523"/>
      <c r="H135" s="559"/>
      <c r="I135" s="559"/>
      <c r="J135" s="559"/>
      <c r="K135" s="559"/>
      <c r="L135" s="90"/>
      <c r="M135" s="100"/>
      <c r="N135" s="100"/>
      <c r="O135" s="100"/>
      <c r="P135" s="100"/>
      <c r="Q135" s="100"/>
      <c r="R135" s="100"/>
      <c r="S135" s="101"/>
      <c r="T135" s="100"/>
      <c r="U135" s="559"/>
      <c r="V135" s="599"/>
      <c r="W135" s="74"/>
      <c r="X135" s="73"/>
      <c r="Y135" s="73"/>
      <c r="Z135" s="73"/>
      <c r="AA135" s="73"/>
      <c r="AB135" s="73"/>
      <c r="AC135" s="73"/>
      <c r="AD135" s="73"/>
      <c r="AE135" s="73"/>
      <c r="AF135" s="73"/>
      <c r="AG135" s="77"/>
    </row>
    <row r="136" spans="1:33" ht="24.75" hidden="1" customHeight="1">
      <c r="A136" s="73"/>
      <c r="B136" s="533"/>
      <c r="C136" s="534"/>
      <c r="D136" s="534"/>
      <c r="E136" s="523"/>
      <c r="F136" s="524"/>
      <c r="G136" s="525"/>
      <c r="H136" s="560"/>
      <c r="I136" s="560"/>
      <c r="J136" s="560"/>
      <c r="K136" s="560"/>
      <c r="L136" s="102"/>
      <c r="M136" s="99"/>
      <c r="N136" s="99"/>
      <c r="O136" s="99"/>
      <c r="P136" s="99"/>
      <c r="Q136" s="99"/>
      <c r="R136" s="99"/>
      <c r="S136" s="103"/>
      <c r="T136" s="99"/>
      <c r="U136" s="559"/>
      <c r="V136" s="599"/>
      <c r="W136" s="74"/>
      <c r="X136" s="73"/>
      <c r="Y136" s="73"/>
      <c r="Z136" s="73"/>
      <c r="AA136" s="73"/>
      <c r="AB136" s="73"/>
      <c r="AC136" s="73"/>
      <c r="AD136" s="73"/>
      <c r="AE136" s="73"/>
      <c r="AF136" s="73"/>
      <c r="AG136" s="77"/>
    </row>
    <row r="137" spans="1:33" ht="24.75" hidden="1" customHeight="1">
      <c r="A137" s="73"/>
      <c r="B137" s="530"/>
      <c r="C137" s="531"/>
      <c r="D137" s="531"/>
      <c r="E137" s="532"/>
      <c r="F137" s="537"/>
      <c r="G137" s="532"/>
      <c r="H137" s="573"/>
      <c r="I137" s="579"/>
      <c r="J137" s="573"/>
      <c r="K137" s="574"/>
      <c r="L137" s="93"/>
      <c r="M137" s="96"/>
      <c r="N137" s="96"/>
      <c r="O137" s="96"/>
      <c r="P137" s="96"/>
      <c r="Q137" s="96"/>
      <c r="R137" s="96"/>
      <c r="S137" s="97"/>
      <c r="T137" s="96"/>
      <c r="U137" s="97"/>
      <c r="V137" s="116"/>
      <c r="W137" s="74"/>
      <c r="X137" s="73"/>
      <c r="Y137" s="73"/>
      <c r="Z137" s="73"/>
      <c r="AA137" s="73"/>
      <c r="AB137" s="73"/>
      <c r="AC137" s="73"/>
      <c r="AD137" s="73"/>
      <c r="AE137" s="73"/>
      <c r="AF137" s="73"/>
      <c r="AG137" s="77"/>
    </row>
    <row r="138" spans="1:33" ht="24.75" hidden="1" customHeight="1">
      <c r="A138" s="73"/>
      <c r="B138" s="533"/>
      <c r="C138" s="534"/>
      <c r="D138" s="534"/>
      <c r="E138" s="523"/>
      <c r="F138" s="522"/>
      <c r="G138" s="523"/>
      <c r="H138" s="559"/>
      <c r="I138" s="559"/>
      <c r="J138" s="559"/>
      <c r="K138" s="559"/>
      <c r="L138" s="90"/>
      <c r="M138" s="100"/>
      <c r="N138" s="100"/>
      <c r="O138" s="100"/>
      <c r="P138" s="100"/>
      <c r="Q138" s="100"/>
      <c r="R138" s="100"/>
      <c r="S138" s="101"/>
      <c r="T138" s="100"/>
      <c r="U138" s="101"/>
      <c r="V138" s="117"/>
      <c r="W138" s="74"/>
      <c r="X138" s="73"/>
      <c r="Y138" s="73"/>
      <c r="Z138" s="73"/>
      <c r="AA138" s="73"/>
      <c r="AB138" s="73"/>
      <c r="AC138" s="73"/>
      <c r="AD138" s="73"/>
      <c r="AE138" s="73"/>
      <c r="AF138" s="73"/>
      <c r="AG138" s="77"/>
    </row>
    <row r="139" spans="1:33" ht="24.75" hidden="1" customHeight="1">
      <c r="A139" s="73"/>
      <c r="B139" s="533"/>
      <c r="C139" s="534"/>
      <c r="D139" s="534"/>
      <c r="E139" s="523"/>
      <c r="F139" s="524"/>
      <c r="G139" s="525"/>
      <c r="H139" s="560"/>
      <c r="I139" s="560"/>
      <c r="J139" s="560"/>
      <c r="K139" s="560"/>
      <c r="L139" s="90"/>
      <c r="M139" s="100"/>
      <c r="N139" s="100"/>
      <c r="O139" s="100"/>
      <c r="P139" s="100"/>
      <c r="Q139" s="100"/>
      <c r="R139" s="100"/>
      <c r="S139" s="101"/>
      <c r="T139" s="100"/>
      <c r="U139" s="101"/>
      <c r="V139" s="117"/>
      <c r="W139" s="74"/>
      <c r="X139" s="73"/>
      <c r="Y139" s="73"/>
      <c r="Z139" s="73"/>
      <c r="AA139" s="73"/>
      <c r="AB139" s="73"/>
      <c r="AC139" s="73"/>
      <c r="AD139" s="73"/>
      <c r="AE139" s="73"/>
      <c r="AF139" s="73"/>
      <c r="AG139" s="77"/>
    </row>
    <row r="140" spans="1:33" ht="24.75" hidden="1" customHeight="1">
      <c r="A140" s="73"/>
      <c r="B140" s="533"/>
      <c r="C140" s="534"/>
      <c r="D140" s="534"/>
      <c r="E140" s="523"/>
      <c r="F140" s="520"/>
      <c r="G140" s="521"/>
      <c r="H140" s="568"/>
      <c r="I140" s="569"/>
      <c r="J140" s="568"/>
      <c r="K140" s="558"/>
      <c r="L140" s="90"/>
      <c r="M140" s="100"/>
      <c r="N140" s="100"/>
      <c r="O140" s="100"/>
      <c r="P140" s="100"/>
      <c r="Q140" s="100"/>
      <c r="R140" s="100"/>
      <c r="S140" s="101"/>
      <c r="T140" s="100"/>
      <c r="U140" s="101"/>
      <c r="V140" s="117"/>
      <c r="W140" s="74"/>
      <c r="X140" s="73"/>
      <c r="Y140" s="73"/>
      <c r="Z140" s="73"/>
      <c r="AA140" s="73"/>
      <c r="AB140" s="73"/>
      <c r="AC140" s="73"/>
      <c r="AD140" s="73"/>
      <c r="AE140" s="73"/>
      <c r="AF140" s="73"/>
      <c r="AG140" s="77"/>
    </row>
    <row r="141" spans="1:33" ht="24.75" hidden="1" customHeight="1">
      <c r="A141" s="73"/>
      <c r="B141" s="533"/>
      <c r="C141" s="534"/>
      <c r="D141" s="534"/>
      <c r="E141" s="523"/>
      <c r="F141" s="522"/>
      <c r="G141" s="523"/>
      <c r="H141" s="559"/>
      <c r="I141" s="559"/>
      <c r="J141" s="559"/>
      <c r="K141" s="559"/>
      <c r="L141" s="90"/>
      <c r="M141" s="100"/>
      <c r="N141" s="100"/>
      <c r="O141" s="100"/>
      <c r="P141" s="100"/>
      <c r="Q141" s="100"/>
      <c r="R141" s="100"/>
      <c r="S141" s="101"/>
      <c r="T141" s="100"/>
      <c r="U141" s="101"/>
      <c r="V141" s="117"/>
      <c r="W141" s="74"/>
      <c r="X141" s="73"/>
      <c r="Y141" s="73"/>
      <c r="Z141" s="73"/>
      <c r="AA141" s="73"/>
      <c r="AB141" s="73"/>
      <c r="AC141" s="73"/>
      <c r="AD141" s="73"/>
      <c r="AE141" s="73"/>
      <c r="AF141" s="73"/>
      <c r="AG141" s="77"/>
    </row>
    <row r="142" spans="1:33" ht="24.75" hidden="1" customHeight="1">
      <c r="A142" s="73"/>
      <c r="B142" s="533"/>
      <c r="C142" s="534"/>
      <c r="D142" s="534"/>
      <c r="E142" s="523"/>
      <c r="F142" s="524"/>
      <c r="G142" s="525"/>
      <c r="H142" s="560"/>
      <c r="I142" s="560"/>
      <c r="J142" s="560"/>
      <c r="K142" s="560"/>
      <c r="L142" s="90"/>
      <c r="M142" s="100"/>
      <c r="N142" s="100"/>
      <c r="O142" s="100"/>
      <c r="P142" s="100"/>
      <c r="Q142" s="100"/>
      <c r="R142" s="100"/>
      <c r="S142" s="101"/>
      <c r="T142" s="100"/>
      <c r="U142" s="101"/>
      <c r="V142" s="117"/>
      <c r="W142" s="74"/>
      <c r="X142" s="73"/>
      <c r="Y142" s="73"/>
      <c r="Z142" s="73"/>
      <c r="AA142" s="73"/>
      <c r="AB142" s="73"/>
      <c r="AC142" s="73"/>
      <c r="AD142" s="73"/>
      <c r="AE142" s="73"/>
      <c r="AF142" s="73"/>
      <c r="AG142" s="77"/>
    </row>
    <row r="143" spans="1:33" ht="24.75" hidden="1" customHeight="1">
      <c r="A143" s="73"/>
      <c r="B143" s="533"/>
      <c r="C143" s="534"/>
      <c r="D143" s="534"/>
      <c r="E143" s="523"/>
      <c r="F143" s="520"/>
      <c r="G143" s="521"/>
      <c r="H143" s="568"/>
      <c r="I143" s="569"/>
      <c r="J143" s="568"/>
      <c r="K143" s="558"/>
      <c r="L143" s="90"/>
      <c r="M143" s="100"/>
      <c r="N143" s="100"/>
      <c r="O143" s="100"/>
      <c r="P143" s="100"/>
      <c r="Q143" s="100"/>
      <c r="R143" s="100"/>
      <c r="S143" s="101"/>
      <c r="T143" s="100"/>
      <c r="U143" s="101"/>
      <c r="V143" s="117"/>
      <c r="W143" s="74"/>
      <c r="X143" s="73"/>
      <c r="Y143" s="73"/>
      <c r="Z143" s="73"/>
      <c r="AA143" s="73"/>
      <c r="AB143" s="73"/>
      <c r="AC143" s="73"/>
      <c r="AD143" s="73"/>
      <c r="AE143" s="73"/>
      <c r="AF143" s="73"/>
      <c r="AG143" s="77"/>
    </row>
    <row r="144" spans="1:33" ht="24.75" hidden="1" customHeight="1">
      <c r="A144" s="73"/>
      <c r="B144" s="533"/>
      <c r="C144" s="534"/>
      <c r="D144" s="534"/>
      <c r="E144" s="523"/>
      <c r="F144" s="522"/>
      <c r="G144" s="523"/>
      <c r="H144" s="559"/>
      <c r="I144" s="559"/>
      <c r="J144" s="559"/>
      <c r="K144" s="559"/>
      <c r="L144" s="90"/>
      <c r="M144" s="100"/>
      <c r="N144" s="100"/>
      <c r="O144" s="100"/>
      <c r="P144" s="100"/>
      <c r="Q144" s="100"/>
      <c r="R144" s="100"/>
      <c r="S144" s="101"/>
      <c r="T144" s="100"/>
      <c r="U144" s="101"/>
      <c r="V144" s="117"/>
      <c r="W144" s="74"/>
      <c r="X144" s="73"/>
      <c r="Y144" s="73"/>
      <c r="Z144" s="73"/>
      <c r="AA144" s="73"/>
      <c r="AB144" s="73"/>
      <c r="AC144" s="73"/>
      <c r="AD144" s="73"/>
      <c r="AE144" s="73"/>
      <c r="AF144" s="73"/>
      <c r="AG144" s="77"/>
    </row>
    <row r="145" spans="1:33" ht="24.75" hidden="1" customHeight="1">
      <c r="A145" s="73"/>
      <c r="B145" s="535"/>
      <c r="C145" s="536"/>
      <c r="D145" s="536"/>
      <c r="E145" s="525"/>
      <c r="F145" s="524"/>
      <c r="G145" s="525"/>
      <c r="H145" s="560"/>
      <c r="I145" s="560"/>
      <c r="J145" s="560"/>
      <c r="K145" s="560"/>
      <c r="L145" s="102"/>
      <c r="M145" s="99"/>
      <c r="N145" s="99"/>
      <c r="O145" s="99"/>
      <c r="P145" s="99"/>
      <c r="Q145" s="99"/>
      <c r="R145" s="99"/>
      <c r="S145" s="103"/>
      <c r="T145" s="99"/>
      <c r="U145" s="103"/>
      <c r="V145" s="118"/>
      <c r="W145" s="74"/>
      <c r="X145" s="73"/>
      <c r="Y145" s="73"/>
      <c r="Z145" s="73"/>
      <c r="AA145" s="73"/>
      <c r="AB145" s="73"/>
      <c r="AC145" s="73"/>
      <c r="AD145" s="73"/>
      <c r="AE145" s="73"/>
      <c r="AF145" s="73"/>
      <c r="AG145" s="77"/>
    </row>
    <row r="146" spans="1:33" ht="27" customHeight="1" thickBot="1">
      <c r="A146" s="73"/>
      <c r="B146" s="538" t="s">
        <v>406</v>
      </c>
      <c r="C146" s="539"/>
      <c r="D146" s="539"/>
      <c r="E146" s="539"/>
      <c r="F146" s="539"/>
      <c r="G146" s="539"/>
      <c r="H146" s="539"/>
      <c r="I146" s="539"/>
      <c r="J146" s="539"/>
      <c r="K146" s="539"/>
      <c r="L146" s="539"/>
      <c r="M146" s="539"/>
      <c r="N146" s="539"/>
      <c r="O146" s="539"/>
      <c r="P146" s="539"/>
      <c r="Q146" s="539"/>
      <c r="R146" s="539"/>
      <c r="S146" s="539"/>
      <c r="T146" s="539"/>
      <c r="U146" s="540"/>
      <c r="V146" s="287" t="e">
        <f>SUM(V119:V127)</f>
        <v>#DIV/0!</v>
      </c>
      <c r="W146" s="74"/>
      <c r="X146" s="73"/>
      <c r="Y146" s="73"/>
      <c r="Z146" s="73"/>
      <c r="AA146" s="73"/>
      <c r="AB146" s="73"/>
      <c r="AC146" s="73"/>
      <c r="AD146" s="73"/>
      <c r="AE146" s="73"/>
      <c r="AF146" s="73"/>
      <c r="AG146" s="77"/>
    </row>
    <row r="147" spans="1:33" ht="15" customHeight="1">
      <c r="A147" s="73"/>
      <c r="B147" s="119"/>
      <c r="C147" s="119"/>
      <c r="D147" s="119"/>
      <c r="E147" s="120"/>
      <c r="F147" s="120"/>
      <c r="G147" s="78"/>
      <c r="H147" s="121"/>
      <c r="I147" s="122"/>
      <c r="J147" s="122"/>
      <c r="K147" s="122"/>
      <c r="L147" s="122"/>
      <c r="M147" s="123"/>
      <c r="N147" s="123"/>
      <c r="O147" s="119"/>
      <c r="P147" s="119"/>
      <c r="Q147" s="119"/>
      <c r="R147" s="119"/>
      <c r="S147" s="119"/>
      <c r="T147" s="124"/>
      <c r="U147" s="124"/>
      <c r="V147" s="124"/>
      <c r="W147" s="74"/>
      <c r="X147" s="73"/>
      <c r="Y147" s="73"/>
      <c r="Z147" s="73"/>
      <c r="AA147" s="73"/>
      <c r="AB147" s="73"/>
      <c r="AC147" s="73"/>
      <c r="AD147" s="73"/>
      <c r="AE147" s="73"/>
      <c r="AF147" s="73"/>
      <c r="AG147" s="75"/>
    </row>
    <row r="148" spans="1:33" ht="18" customHeight="1">
      <c r="A148" s="73"/>
      <c r="B148" s="123"/>
      <c r="C148" s="123"/>
      <c r="D148" s="123"/>
      <c r="E148" s="125"/>
      <c r="F148" s="125"/>
      <c r="G148" s="78"/>
      <c r="H148" s="78"/>
      <c r="I148" s="126"/>
      <c r="J148" s="126"/>
      <c r="K148" s="126"/>
      <c r="L148" s="126"/>
      <c r="M148" s="123"/>
      <c r="N148" s="123"/>
      <c r="O148" s="123"/>
      <c r="P148" s="123"/>
      <c r="Q148" s="123"/>
      <c r="R148" s="123"/>
      <c r="S148" s="123"/>
      <c r="T148" s="75"/>
      <c r="U148" s="74"/>
      <c r="V148" s="74"/>
      <c r="W148" s="74"/>
      <c r="X148" s="73"/>
      <c r="Y148" s="73"/>
      <c r="Z148" s="73"/>
      <c r="AA148" s="73"/>
      <c r="AB148" s="73"/>
      <c r="AC148" s="73"/>
      <c r="AD148" s="73"/>
      <c r="AE148" s="73"/>
      <c r="AF148" s="73"/>
      <c r="AG148" s="75"/>
    </row>
    <row r="149" spans="1:33" ht="16.5" customHeight="1">
      <c r="A149" s="73"/>
      <c r="B149" s="123"/>
      <c r="C149" s="123"/>
      <c r="D149" s="123"/>
      <c r="E149" s="125"/>
      <c r="F149" s="125"/>
      <c r="G149" s="78"/>
      <c r="H149" s="78"/>
      <c r="I149" s="126"/>
      <c r="J149" s="126"/>
      <c r="K149" s="126"/>
      <c r="L149" s="127"/>
      <c r="M149" s="127"/>
      <c r="N149" s="127"/>
      <c r="O149" s="127"/>
      <c r="P149" s="127"/>
      <c r="Q149" s="127"/>
      <c r="R149" s="127"/>
      <c r="S149" s="127"/>
      <c r="T149" s="127"/>
      <c r="U149" s="74"/>
      <c r="V149" s="74"/>
      <c r="W149" s="74"/>
      <c r="X149" s="73"/>
      <c r="Y149" s="73"/>
      <c r="Z149" s="73"/>
      <c r="AA149" s="73"/>
      <c r="AB149" s="73"/>
      <c r="AC149" s="73"/>
      <c r="AD149" s="73"/>
      <c r="AE149" s="73"/>
      <c r="AF149" s="73"/>
      <c r="AG149" s="75"/>
    </row>
    <row r="150" spans="1:33" ht="15.75" customHeight="1">
      <c r="A150" s="73"/>
      <c r="B150" s="209"/>
      <c r="C150" s="209"/>
      <c r="D150" s="209"/>
      <c r="E150" s="210"/>
      <c r="F150" s="210"/>
      <c r="G150" s="211"/>
      <c r="H150" s="209"/>
      <c r="I150" s="212"/>
      <c r="J150" s="212"/>
      <c r="K150" s="212"/>
      <c r="L150" s="213"/>
      <c r="M150" s="213"/>
      <c r="N150" s="213"/>
      <c r="O150" s="213"/>
      <c r="P150" s="213"/>
      <c r="Q150" s="213"/>
      <c r="R150" s="127"/>
      <c r="S150" s="127"/>
      <c r="T150" s="127"/>
      <c r="U150" s="74"/>
      <c r="V150" s="74"/>
      <c r="W150" s="74"/>
      <c r="X150" s="73"/>
      <c r="Y150" s="73"/>
      <c r="Z150" s="73"/>
      <c r="AA150" s="73"/>
      <c r="AB150" s="73"/>
      <c r="AC150" s="73"/>
      <c r="AD150" s="73"/>
      <c r="AE150" s="73"/>
      <c r="AF150" s="73"/>
      <c r="AG150" s="75"/>
    </row>
    <row r="151" spans="1:33" ht="13.5" customHeight="1">
      <c r="A151" s="73"/>
      <c r="B151" s="209"/>
      <c r="C151" s="209"/>
      <c r="D151" s="526">
        <f>F4</f>
        <v>0</v>
      </c>
      <c r="E151" s="527"/>
      <c r="F151" s="500"/>
      <c r="G151" s="209"/>
      <c r="H151" s="209"/>
      <c r="I151" s="561" t="s">
        <v>576</v>
      </c>
      <c r="J151" s="562"/>
      <c r="K151" s="562"/>
      <c r="L151" s="563"/>
      <c r="M151" s="213"/>
      <c r="N151" s="561" t="s">
        <v>575</v>
      </c>
      <c r="O151" s="563"/>
      <c r="P151" s="214"/>
      <c r="Q151" s="213"/>
      <c r="R151" s="127"/>
      <c r="S151" s="127"/>
      <c r="T151" s="127"/>
      <c r="U151" s="74"/>
      <c r="V151" s="74"/>
      <c r="W151" s="74"/>
      <c r="X151" s="73"/>
      <c r="Y151" s="73"/>
      <c r="Z151" s="73"/>
      <c r="AA151" s="73"/>
      <c r="AB151" s="73"/>
      <c r="AC151" s="73"/>
      <c r="AD151" s="73"/>
      <c r="AE151" s="73"/>
      <c r="AF151" s="73"/>
      <c r="AG151" s="75"/>
    </row>
    <row r="152" spans="1:33" ht="13.5" customHeight="1">
      <c r="A152" s="73"/>
      <c r="B152" s="209"/>
      <c r="C152" s="209"/>
      <c r="D152" s="502"/>
      <c r="E152" s="528"/>
      <c r="F152" s="503"/>
      <c r="G152" s="209"/>
      <c r="H152" s="209"/>
      <c r="I152" s="564"/>
      <c r="J152" s="565"/>
      <c r="K152" s="565"/>
      <c r="L152" s="566"/>
      <c r="M152" s="213"/>
      <c r="N152" s="564"/>
      <c r="O152" s="566"/>
      <c r="P152" s="214"/>
      <c r="Q152" s="213"/>
      <c r="R152" s="127"/>
      <c r="S152" s="127"/>
      <c r="T152" s="127"/>
      <c r="U152" s="74"/>
      <c r="V152" s="74"/>
      <c r="W152" s="74"/>
      <c r="X152" s="73"/>
      <c r="Y152" s="73"/>
      <c r="Z152" s="73"/>
      <c r="AA152" s="73"/>
      <c r="AB152" s="73"/>
      <c r="AC152" s="73"/>
      <c r="AD152" s="73"/>
      <c r="AE152" s="73"/>
      <c r="AF152" s="73"/>
      <c r="AG152" s="75"/>
    </row>
    <row r="153" spans="1:33" ht="26.1" customHeight="1">
      <c r="A153" s="73"/>
      <c r="B153" s="209"/>
      <c r="C153" s="209"/>
      <c r="D153" s="529" t="s">
        <v>407</v>
      </c>
      <c r="E153" s="437"/>
      <c r="F153" s="438"/>
      <c r="G153" s="209"/>
      <c r="H153" s="209"/>
      <c r="I153" s="567" t="s">
        <v>408</v>
      </c>
      <c r="J153" s="437"/>
      <c r="K153" s="437"/>
      <c r="L153" s="438"/>
      <c r="M153" s="209"/>
      <c r="N153" s="567" t="s">
        <v>409</v>
      </c>
      <c r="O153" s="438"/>
      <c r="P153" s="214"/>
      <c r="Q153" s="213"/>
      <c r="R153" s="123"/>
      <c r="S153" s="123"/>
      <c r="T153" s="123"/>
      <c r="U153" s="74"/>
      <c r="V153" s="74"/>
      <c r="W153" s="74"/>
      <c r="X153" s="73"/>
      <c r="Y153" s="73"/>
      <c r="Z153" s="73"/>
      <c r="AA153" s="73"/>
      <c r="AB153" s="73"/>
      <c r="AC153" s="73"/>
      <c r="AD153" s="73"/>
      <c r="AE153" s="73"/>
      <c r="AF153" s="73"/>
      <c r="AG153" s="75"/>
    </row>
    <row r="154" spans="1:33" ht="13.5" customHeight="1">
      <c r="A154" s="73"/>
      <c r="B154" s="209"/>
      <c r="C154" s="209"/>
      <c r="D154" s="215"/>
      <c r="E154" s="209"/>
      <c r="F154" s="209"/>
      <c r="G154" s="209"/>
      <c r="H154" s="209"/>
      <c r="I154" s="209"/>
      <c r="J154" s="209"/>
      <c r="K154" s="209"/>
      <c r="L154" s="209"/>
      <c r="M154" s="209"/>
      <c r="N154" s="209"/>
      <c r="O154" s="213"/>
      <c r="P154" s="213"/>
      <c r="Q154" s="213"/>
      <c r="R154" s="123"/>
      <c r="S154" s="123"/>
      <c r="T154" s="123"/>
      <c r="U154" s="123"/>
      <c r="V154" s="123"/>
      <c r="W154" s="74"/>
      <c r="X154" s="73"/>
      <c r="Y154" s="73"/>
      <c r="Z154" s="73"/>
      <c r="AA154" s="73"/>
      <c r="AB154" s="73"/>
      <c r="AC154" s="73"/>
      <c r="AD154" s="73"/>
      <c r="AE154" s="73"/>
      <c r="AF154" s="73"/>
      <c r="AG154" s="75"/>
    </row>
    <row r="155" spans="1:33" ht="13.5" customHeight="1">
      <c r="A155" s="73"/>
      <c r="B155" s="123"/>
      <c r="C155" s="123"/>
      <c r="D155" s="123"/>
      <c r="E155" s="123"/>
      <c r="F155" s="123"/>
      <c r="G155" s="130"/>
      <c r="H155" s="123"/>
      <c r="I155" s="129"/>
      <c r="J155" s="129"/>
      <c r="K155" s="129"/>
      <c r="L155" s="129"/>
      <c r="M155" s="123"/>
      <c r="N155" s="123"/>
      <c r="O155" s="123"/>
      <c r="P155" s="123"/>
      <c r="Q155" s="123"/>
      <c r="R155" s="123"/>
      <c r="S155" s="123"/>
      <c r="T155" s="123"/>
      <c r="U155" s="123"/>
      <c r="V155" s="123"/>
      <c r="W155" s="74"/>
      <c r="X155" s="73"/>
      <c r="Y155" s="73"/>
      <c r="Z155" s="73"/>
      <c r="AA155" s="73"/>
      <c r="AB155" s="73"/>
      <c r="AC155" s="73"/>
      <c r="AD155" s="73"/>
      <c r="AE155" s="73"/>
      <c r="AF155" s="73"/>
      <c r="AG155" s="75"/>
    </row>
    <row r="156" spans="1:33" ht="13.5" customHeight="1">
      <c r="A156" s="73"/>
      <c r="B156" s="123"/>
      <c r="C156" s="123"/>
      <c r="D156" s="123"/>
      <c r="E156" s="123"/>
      <c r="F156" s="123"/>
      <c r="G156" s="130"/>
      <c r="H156" s="123"/>
      <c r="I156" s="129"/>
      <c r="J156" s="129"/>
      <c r="K156" s="129"/>
      <c r="L156" s="129"/>
      <c r="M156" s="123"/>
      <c r="N156" s="123"/>
      <c r="O156" s="123"/>
      <c r="P156" s="123"/>
      <c r="Q156" s="123"/>
      <c r="R156" s="123"/>
      <c r="S156" s="123"/>
      <c r="T156" s="123"/>
      <c r="U156" s="123"/>
      <c r="V156" s="123"/>
      <c r="W156" s="74"/>
      <c r="X156" s="73"/>
      <c r="Y156" s="73"/>
      <c r="Z156" s="73"/>
      <c r="AA156" s="73"/>
      <c r="AB156" s="73"/>
      <c r="AC156" s="73"/>
      <c r="AD156" s="73"/>
      <c r="AE156" s="73"/>
      <c r="AF156" s="73"/>
      <c r="AG156" s="75"/>
    </row>
    <row r="157" spans="1:33" ht="13.5" customHeight="1">
      <c r="A157" s="73"/>
      <c r="B157" s="123"/>
      <c r="C157" s="123"/>
      <c r="D157" s="123"/>
      <c r="E157" s="123"/>
      <c r="F157" s="123"/>
      <c r="G157" s="130"/>
      <c r="H157" s="123"/>
      <c r="I157" s="129"/>
      <c r="J157" s="129"/>
      <c r="K157" s="129"/>
      <c r="L157" s="129"/>
      <c r="M157" s="123"/>
      <c r="N157" s="123"/>
      <c r="O157" s="123"/>
      <c r="P157" s="123"/>
      <c r="Q157" s="123"/>
      <c r="R157" s="123"/>
      <c r="S157" s="123"/>
      <c r="T157" s="123"/>
      <c r="U157" s="123"/>
      <c r="V157" s="123"/>
      <c r="W157" s="74"/>
      <c r="X157" s="73"/>
      <c r="Y157" s="73"/>
      <c r="Z157" s="73"/>
      <c r="AA157" s="73"/>
      <c r="AB157" s="73"/>
      <c r="AC157" s="73"/>
      <c r="AD157" s="73"/>
      <c r="AE157" s="73"/>
      <c r="AF157" s="73"/>
      <c r="AG157" s="75"/>
    </row>
    <row r="158" spans="1:33" ht="13.5" customHeight="1">
      <c r="A158" s="73"/>
      <c r="B158" s="123"/>
      <c r="C158" s="123"/>
      <c r="D158" s="123"/>
      <c r="E158" s="123"/>
      <c r="F158" s="123"/>
      <c r="G158" s="130"/>
      <c r="H158" s="123"/>
      <c r="I158" s="129"/>
      <c r="J158" s="129"/>
      <c r="K158" s="129"/>
      <c r="L158" s="129"/>
      <c r="M158" s="123"/>
      <c r="N158" s="123"/>
      <c r="O158" s="123"/>
      <c r="P158" s="123"/>
      <c r="Q158" s="123"/>
      <c r="R158" s="123"/>
      <c r="S158" s="123"/>
      <c r="T158" s="123"/>
      <c r="U158" s="123"/>
      <c r="V158" s="123"/>
      <c r="W158" s="74"/>
      <c r="X158" s="73"/>
      <c r="Y158" s="73"/>
      <c r="Z158" s="73"/>
      <c r="AA158" s="73"/>
      <c r="AB158" s="73"/>
      <c r="AC158" s="73"/>
      <c r="AD158" s="73"/>
      <c r="AE158" s="73"/>
      <c r="AF158" s="73"/>
      <c r="AG158" s="75"/>
    </row>
    <row r="159" spans="1:33" ht="13.5" customHeight="1">
      <c r="A159" s="73"/>
      <c r="B159" s="123"/>
      <c r="C159" s="123"/>
      <c r="D159" s="123"/>
      <c r="E159" s="123"/>
      <c r="F159" s="123"/>
      <c r="G159" s="130"/>
      <c r="H159" s="123"/>
      <c r="I159" s="129"/>
      <c r="J159" s="129"/>
      <c r="K159" s="129"/>
      <c r="L159" s="129"/>
      <c r="M159" s="123"/>
      <c r="N159" s="123"/>
      <c r="O159" s="123"/>
      <c r="P159" s="123"/>
      <c r="Q159" s="123"/>
      <c r="R159" s="123"/>
      <c r="S159" s="123"/>
      <c r="T159" s="123"/>
      <c r="U159" s="123"/>
      <c r="V159" s="123"/>
      <c r="W159" s="74"/>
      <c r="X159" s="73"/>
      <c r="Y159" s="73"/>
      <c r="Z159" s="73"/>
      <c r="AA159" s="73"/>
      <c r="AB159" s="73"/>
      <c r="AC159" s="73"/>
      <c r="AD159" s="73"/>
      <c r="AE159" s="73"/>
      <c r="AF159" s="73"/>
      <c r="AG159" s="75"/>
    </row>
    <row r="160" spans="1:33" ht="13.5" customHeight="1">
      <c r="A160" s="73"/>
      <c r="B160" s="123"/>
      <c r="C160" s="123"/>
      <c r="D160" s="123"/>
      <c r="E160" s="123"/>
      <c r="F160" s="123"/>
      <c r="G160" s="130"/>
      <c r="H160" s="123"/>
      <c r="I160" s="129"/>
      <c r="J160" s="129"/>
      <c r="K160" s="129"/>
      <c r="L160" s="129"/>
      <c r="M160" s="123"/>
      <c r="N160" s="123"/>
      <c r="O160" s="123"/>
      <c r="P160" s="123"/>
      <c r="Q160" s="123"/>
      <c r="R160" s="123"/>
      <c r="S160" s="123"/>
      <c r="T160" s="123"/>
      <c r="U160" s="123"/>
      <c r="V160" s="123"/>
      <c r="W160" s="74"/>
      <c r="X160" s="73"/>
      <c r="Y160" s="73"/>
      <c r="Z160" s="73"/>
      <c r="AA160" s="73"/>
      <c r="AB160" s="73"/>
      <c r="AC160" s="73"/>
      <c r="AD160" s="73"/>
      <c r="AE160" s="73"/>
      <c r="AF160" s="73"/>
      <c r="AG160" s="75"/>
    </row>
    <row r="161" spans="1:33" ht="13.5" customHeight="1">
      <c r="A161" s="73"/>
      <c r="B161" s="123"/>
      <c r="C161" s="123"/>
      <c r="D161" s="123"/>
      <c r="E161" s="123"/>
      <c r="F161" s="123"/>
      <c r="G161" s="130"/>
      <c r="H161" s="123"/>
      <c r="I161" s="129"/>
      <c r="J161" s="129"/>
      <c r="K161" s="129"/>
      <c r="L161" s="129"/>
      <c r="M161" s="123"/>
      <c r="N161" s="123"/>
      <c r="O161" s="123"/>
      <c r="P161" s="123"/>
      <c r="Q161" s="123"/>
      <c r="R161" s="123"/>
      <c r="S161" s="123"/>
      <c r="T161" s="123"/>
      <c r="U161" s="123"/>
      <c r="V161" s="123"/>
      <c r="W161" s="74"/>
      <c r="X161" s="73"/>
      <c r="Y161" s="73"/>
      <c r="Z161" s="73"/>
      <c r="AA161" s="73"/>
      <c r="AB161" s="73"/>
      <c r="AC161" s="73"/>
      <c r="AD161" s="73"/>
      <c r="AE161" s="73"/>
      <c r="AF161" s="73"/>
      <c r="AG161" s="75"/>
    </row>
    <row r="162" spans="1:33" ht="13.5" customHeight="1">
      <c r="A162" s="73"/>
      <c r="B162" s="123"/>
      <c r="C162" s="123"/>
      <c r="D162" s="123"/>
      <c r="E162" s="123"/>
      <c r="F162" s="123"/>
      <c r="G162" s="130"/>
      <c r="H162" s="123"/>
      <c r="I162" s="129"/>
      <c r="J162" s="129"/>
      <c r="K162" s="129"/>
      <c r="L162" s="129"/>
      <c r="M162" s="123"/>
      <c r="N162" s="123"/>
      <c r="O162" s="123"/>
      <c r="P162" s="123"/>
      <c r="Q162" s="123"/>
      <c r="R162" s="123"/>
      <c r="S162" s="123"/>
      <c r="T162" s="123"/>
      <c r="U162" s="123"/>
      <c r="V162" s="123"/>
      <c r="W162" s="74"/>
      <c r="X162" s="73"/>
      <c r="Y162" s="73"/>
      <c r="Z162" s="73"/>
      <c r="AA162" s="73"/>
      <c r="AB162" s="73"/>
      <c r="AC162" s="73"/>
      <c r="AD162" s="73"/>
      <c r="AE162" s="73"/>
      <c r="AF162" s="73"/>
      <c r="AG162" s="75"/>
    </row>
    <row r="163" spans="1:33" ht="13.5" customHeight="1">
      <c r="A163" s="73"/>
      <c r="B163" s="123"/>
      <c r="C163" s="123"/>
      <c r="D163" s="123"/>
      <c r="E163" s="123"/>
      <c r="F163" s="123"/>
      <c r="G163" s="130"/>
      <c r="H163" s="123"/>
      <c r="I163" s="129"/>
      <c r="J163" s="129"/>
      <c r="K163" s="129"/>
      <c r="L163" s="129"/>
      <c r="M163" s="123"/>
      <c r="N163" s="123"/>
      <c r="O163" s="123"/>
      <c r="P163" s="123"/>
      <c r="Q163" s="123"/>
      <c r="R163" s="123"/>
      <c r="S163" s="123"/>
      <c r="T163" s="123"/>
      <c r="U163" s="123"/>
      <c r="V163" s="123"/>
      <c r="W163" s="74"/>
      <c r="X163" s="73"/>
      <c r="Y163" s="73"/>
      <c r="Z163" s="73"/>
      <c r="AA163" s="73"/>
      <c r="AB163" s="73"/>
      <c r="AC163" s="73"/>
      <c r="AD163" s="73"/>
      <c r="AE163" s="73"/>
      <c r="AF163" s="73"/>
      <c r="AG163" s="75"/>
    </row>
    <row r="164" spans="1:33" ht="13.5" customHeight="1">
      <c r="A164" s="73"/>
      <c r="B164" s="123"/>
      <c r="C164" s="123"/>
      <c r="D164" s="123"/>
      <c r="E164" s="123"/>
      <c r="F164" s="123"/>
      <c r="G164" s="130"/>
      <c r="H164" s="123"/>
      <c r="I164" s="129"/>
      <c r="J164" s="129"/>
      <c r="K164" s="129"/>
      <c r="L164" s="129"/>
      <c r="M164" s="123"/>
      <c r="N164" s="123"/>
      <c r="O164" s="123"/>
      <c r="P164" s="123"/>
      <c r="Q164" s="123"/>
      <c r="R164" s="123"/>
      <c r="S164" s="123"/>
      <c r="T164" s="123"/>
      <c r="U164" s="123"/>
      <c r="V164" s="123"/>
      <c r="W164" s="74"/>
      <c r="X164" s="73"/>
      <c r="Y164" s="73"/>
      <c r="Z164" s="73"/>
      <c r="AA164" s="73"/>
      <c r="AB164" s="73"/>
      <c r="AC164" s="73"/>
      <c r="AD164" s="73"/>
      <c r="AE164" s="73"/>
      <c r="AF164" s="73"/>
      <c r="AG164" s="75"/>
    </row>
    <row r="165" spans="1:33" ht="13.5" customHeight="1">
      <c r="A165" s="73"/>
      <c r="B165" s="123"/>
      <c r="C165" s="123"/>
      <c r="D165" s="123"/>
      <c r="E165" s="123"/>
      <c r="F165" s="123"/>
      <c r="G165" s="130"/>
      <c r="H165" s="123"/>
      <c r="I165" s="129"/>
      <c r="J165" s="129"/>
      <c r="K165" s="129"/>
      <c r="L165" s="129"/>
      <c r="M165" s="123"/>
      <c r="N165" s="123"/>
      <c r="O165" s="123"/>
      <c r="P165" s="123"/>
      <c r="Q165" s="123"/>
      <c r="R165" s="123"/>
      <c r="S165" s="123"/>
      <c r="T165" s="123"/>
      <c r="U165" s="123"/>
      <c r="V165" s="123"/>
      <c r="W165" s="74"/>
      <c r="X165" s="73"/>
      <c r="Y165" s="73"/>
      <c r="Z165" s="73"/>
      <c r="AA165" s="73"/>
      <c r="AB165" s="73"/>
      <c r="AC165" s="73"/>
      <c r="AD165" s="73"/>
      <c r="AE165" s="73"/>
      <c r="AF165" s="73"/>
      <c r="AG165" s="75"/>
    </row>
    <row r="166" spans="1:33" ht="13.5" customHeight="1">
      <c r="A166" s="73"/>
      <c r="B166" s="123"/>
      <c r="C166" s="123"/>
      <c r="D166" s="123"/>
      <c r="E166" s="123"/>
      <c r="F166" s="123"/>
      <c r="G166" s="130"/>
      <c r="H166" s="123"/>
      <c r="I166" s="129"/>
      <c r="J166" s="129"/>
      <c r="K166" s="129"/>
      <c r="L166" s="129"/>
      <c r="M166" s="123"/>
      <c r="N166" s="123"/>
      <c r="O166" s="123"/>
      <c r="P166" s="123"/>
      <c r="Q166" s="123"/>
      <c r="R166" s="123"/>
      <c r="S166" s="123"/>
      <c r="T166" s="123"/>
      <c r="U166" s="123"/>
      <c r="V166" s="123"/>
      <c r="W166" s="74"/>
      <c r="X166" s="73"/>
      <c r="Y166" s="73"/>
      <c r="Z166" s="73"/>
      <c r="AA166" s="73"/>
      <c r="AB166" s="73"/>
      <c r="AC166" s="73"/>
      <c r="AD166" s="73"/>
      <c r="AE166" s="73"/>
      <c r="AF166" s="73"/>
      <c r="AG166" s="75"/>
    </row>
    <row r="167" spans="1:33" ht="13.5" customHeight="1">
      <c r="A167" s="73"/>
      <c r="B167" s="123"/>
      <c r="C167" s="123"/>
      <c r="D167" s="123"/>
      <c r="E167" s="123"/>
      <c r="F167" s="123"/>
      <c r="G167" s="130"/>
      <c r="H167" s="123"/>
      <c r="I167" s="129"/>
      <c r="J167" s="129"/>
      <c r="K167" s="129"/>
      <c r="L167" s="129"/>
      <c r="M167" s="123"/>
      <c r="N167" s="123"/>
      <c r="O167" s="123"/>
      <c r="P167" s="123"/>
      <c r="Q167" s="123"/>
      <c r="R167" s="123"/>
      <c r="S167" s="123"/>
      <c r="T167" s="123"/>
      <c r="U167" s="123"/>
      <c r="V167" s="123"/>
      <c r="W167" s="74"/>
      <c r="X167" s="73"/>
      <c r="Y167" s="73"/>
      <c r="Z167" s="73"/>
      <c r="AA167" s="73"/>
      <c r="AB167" s="73"/>
      <c r="AC167" s="73"/>
      <c r="AD167" s="73"/>
      <c r="AE167" s="73"/>
      <c r="AF167" s="73"/>
      <c r="AG167" s="75"/>
    </row>
    <row r="168" spans="1:33" ht="13.5" customHeight="1">
      <c r="A168" s="73"/>
      <c r="B168" s="123"/>
      <c r="C168" s="123"/>
      <c r="D168" s="123"/>
      <c r="E168" s="123"/>
      <c r="F168" s="123"/>
      <c r="G168" s="130"/>
      <c r="H168" s="123"/>
      <c r="I168" s="129"/>
      <c r="J168" s="129"/>
      <c r="K168" s="129"/>
      <c r="L168" s="129"/>
      <c r="M168" s="123"/>
      <c r="N168" s="123"/>
      <c r="O168" s="123"/>
      <c r="P168" s="123"/>
      <c r="Q168" s="123"/>
      <c r="R168" s="123"/>
      <c r="S168" s="123"/>
      <c r="T168" s="123"/>
      <c r="U168" s="123"/>
      <c r="V168" s="123"/>
      <c r="W168" s="74"/>
      <c r="X168" s="73"/>
      <c r="Y168" s="73"/>
      <c r="Z168" s="73"/>
      <c r="AA168" s="73"/>
      <c r="AB168" s="73"/>
      <c r="AC168" s="73"/>
      <c r="AD168" s="73"/>
      <c r="AE168" s="73"/>
      <c r="AF168" s="73"/>
      <c r="AG168" s="75"/>
    </row>
    <row r="169" spans="1:33" ht="13.5" customHeight="1">
      <c r="A169" s="73"/>
      <c r="B169" s="123"/>
      <c r="C169" s="123"/>
      <c r="D169" s="123"/>
      <c r="E169" s="123"/>
      <c r="F169" s="123"/>
      <c r="G169" s="130"/>
      <c r="H169" s="123"/>
      <c r="I169" s="129"/>
      <c r="J169" s="129"/>
      <c r="K169" s="129"/>
      <c r="L169" s="129"/>
      <c r="M169" s="123"/>
      <c r="N169" s="123"/>
      <c r="O169" s="123"/>
      <c r="P169" s="123"/>
      <c r="Q169" s="123"/>
      <c r="R169" s="123"/>
      <c r="S169" s="123"/>
      <c r="T169" s="123"/>
      <c r="U169" s="123"/>
      <c r="V169" s="123"/>
      <c r="W169" s="74"/>
      <c r="X169" s="73"/>
      <c r="Y169" s="73"/>
      <c r="Z169" s="73"/>
      <c r="AA169" s="73"/>
      <c r="AB169" s="73"/>
      <c r="AC169" s="73"/>
      <c r="AD169" s="73"/>
      <c r="AE169" s="73"/>
      <c r="AF169" s="73"/>
      <c r="AG169" s="75"/>
    </row>
    <row r="170" spans="1:33" ht="13.5" customHeight="1">
      <c r="A170" s="73"/>
      <c r="B170" s="123"/>
      <c r="C170" s="123"/>
      <c r="D170" s="123"/>
      <c r="E170" s="123"/>
      <c r="F170" s="123"/>
      <c r="G170" s="130"/>
      <c r="H170" s="123"/>
      <c r="I170" s="129"/>
      <c r="J170" s="129"/>
      <c r="K170" s="129"/>
      <c r="L170" s="129"/>
      <c r="M170" s="123"/>
      <c r="N170" s="123"/>
      <c r="O170" s="123"/>
      <c r="P170" s="123"/>
      <c r="Q170" s="123"/>
      <c r="R170" s="123"/>
      <c r="S170" s="123"/>
      <c r="T170" s="123"/>
      <c r="U170" s="123"/>
      <c r="V170" s="123"/>
      <c r="W170" s="74"/>
      <c r="X170" s="73"/>
      <c r="Y170" s="73"/>
      <c r="Z170" s="73"/>
      <c r="AA170" s="73"/>
      <c r="AB170" s="73"/>
      <c r="AC170" s="73"/>
      <c r="AD170" s="73"/>
      <c r="AE170" s="73"/>
      <c r="AF170" s="73"/>
      <c r="AG170" s="75"/>
    </row>
    <row r="171" spans="1:33" ht="13.5" customHeight="1">
      <c r="A171" s="73"/>
      <c r="B171" s="123"/>
      <c r="C171" s="123"/>
      <c r="D171" s="123"/>
      <c r="E171" s="123"/>
      <c r="F171" s="123"/>
      <c r="G171" s="130"/>
      <c r="H171" s="123"/>
      <c r="I171" s="129"/>
      <c r="J171" s="129"/>
      <c r="K171" s="129"/>
      <c r="L171" s="129"/>
      <c r="M171" s="123"/>
      <c r="N171" s="123"/>
      <c r="O171" s="123"/>
      <c r="P171" s="123"/>
      <c r="Q171" s="123"/>
      <c r="R171" s="123"/>
      <c r="S171" s="123"/>
      <c r="T171" s="123"/>
      <c r="U171" s="123"/>
      <c r="V171" s="123"/>
      <c r="W171" s="74"/>
      <c r="X171" s="73"/>
      <c r="Y171" s="73"/>
      <c r="Z171" s="73"/>
      <c r="AA171" s="73"/>
      <c r="AB171" s="73"/>
      <c r="AC171" s="73"/>
      <c r="AD171" s="73"/>
      <c r="AE171" s="73"/>
      <c r="AF171" s="73"/>
      <c r="AG171" s="75"/>
    </row>
    <row r="172" spans="1:33" ht="13.5" customHeight="1">
      <c r="A172" s="73"/>
      <c r="B172" s="123"/>
      <c r="C172" s="123"/>
      <c r="D172" s="123"/>
      <c r="E172" s="123"/>
      <c r="F172" s="123"/>
      <c r="G172" s="130"/>
      <c r="H172" s="123"/>
      <c r="I172" s="129"/>
      <c r="J172" s="129"/>
      <c r="K172" s="129"/>
      <c r="L172" s="129"/>
      <c r="M172" s="123"/>
      <c r="N172" s="123"/>
      <c r="O172" s="123"/>
      <c r="P172" s="123"/>
      <c r="Q172" s="123"/>
      <c r="R172" s="123"/>
      <c r="S172" s="123"/>
      <c r="T172" s="123"/>
      <c r="U172" s="123"/>
      <c r="V172" s="123"/>
      <c r="W172" s="74"/>
      <c r="X172" s="73"/>
      <c r="Y172" s="73"/>
      <c r="Z172" s="73"/>
      <c r="AA172" s="73"/>
      <c r="AB172" s="73"/>
      <c r="AC172" s="73"/>
      <c r="AD172" s="73"/>
      <c r="AE172" s="73"/>
      <c r="AF172" s="73"/>
      <c r="AG172" s="75"/>
    </row>
    <row r="173" spans="1:33" ht="13.5" customHeight="1">
      <c r="A173" s="73"/>
      <c r="B173" s="123"/>
      <c r="C173" s="123"/>
      <c r="D173" s="123"/>
      <c r="E173" s="123"/>
      <c r="F173" s="123"/>
      <c r="G173" s="130"/>
      <c r="H173" s="123"/>
      <c r="I173" s="129"/>
      <c r="J173" s="129"/>
      <c r="K173" s="129"/>
      <c r="L173" s="129"/>
      <c r="M173" s="123"/>
      <c r="N173" s="123"/>
      <c r="O173" s="123"/>
      <c r="P173" s="123"/>
      <c r="Q173" s="123"/>
      <c r="R173" s="123"/>
      <c r="S173" s="123"/>
      <c r="T173" s="123"/>
      <c r="U173" s="123"/>
      <c r="V173" s="123"/>
      <c r="W173" s="74"/>
      <c r="X173" s="73"/>
      <c r="Y173" s="73"/>
      <c r="Z173" s="73"/>
      <c r="AA173" s="73"/>
      <c r="AB173" s="73"/>
      <c r="AC173" s="73"/>
      <c r="AD173" s="73"/>
      <c r="AE173" s="73"/>
      <c r="AF173" s="73"/>
      <c r="AG173" s="75"/>
    </row>
    <row r="174" spans="1:33" ht="13.5" customHeight="1">
      <c r="A174" s="73"/>
      <c r="B174" s="123"/>
      <c r="C174" s="123"/>
      <c r="D174" s="123"/>
      <c r="E174" s="123"/>
      <c r="F174" s="123"/>
      <c r="G174" s="130"/>
      <c r="H174" s="123"/>
      <c r="I174" s="129"/>
      <c r="J174" s="129"/>
      <c r="K174" s="129"/>
      <c r="L174" s="129"/>
      <c r="M174" s="123"/>
      <c r="N174" s="123"/>
      <c r="O174" s="123"/>
      <c r="P174" s="123"/>
      <c r="Q174" s="123"/>
      <c r="R174" s="123"/>
      <c r="S174" s="123"/>
      <c r="T174" s="123"/>
      <c r="U174" s="123"/>
      <c r="V174" s="123"/>
      <c r="W174" s="74"/>
      <c r="X174" s="73"/>
      <c r="Y174" s="73"/>
      <c r="Z174" s="73"/>
      <c r="AA174" s="73"/>
      <c r="AB174" s="73"/>
      <c r="AC174" s="73"/>
      <c r="AD174" s="73"/>
      <c r="AE174" s="73"/>
      <c r="AF174" s="73"/>
      <c r="AG174" s="75"/>
    </row>
    <row r="175" spans="1:33" ht="13.5" customHeight="1">
      <c r="A175" s="73"/>
      <c r="B175" s="123"/>
      <c r="C175" s="123"/>
      <c r="D175" s="123"/>
      <c r="E175" s="123"/>
      <c r="F175" s="123"/>
      <c r="G175" s="130"/>
      <c r="H175" s="123"/>
      <c r="I175" s="129"/>
      <c r="J175" s="129"/>
      <c r="K175" s="129"/>
      <c r="L175" s="129"/>
      <c r="M175" s="123"/>
      <c r="N175" s="123"/>
      <c r="O175" s="123"/>
      <c r="P175" s="123"/>
      <c r="Q175" s="123"/>
      <c r="R175" s="123"/>
      <c r="S175" s="123"/>
      <c r="T175" s="123"/>
      <c r="U175" s="123"/>
      <c r="V175" s="123"/>
      <c r="W175" s="74"/>
      <c r="X175" s="73"/>
      <c r="Y175" s="73"/>
      <c r="Z175" s="73"/>
      <c r="AA175" s="73"/>
      <c r="AB175" s="73"/>
      <c r="AC175" s="73"/>
      <c r="AD175" s="73"/>
      <c r="AE175" s="73"/>
      <c r="AF175" s="73"/>
      <c r="AG175" s="75"/>
    </row>
    <row r="176" spans="1:33" ht="13.5" customHeight="1">
      <c r="A176" s="73"/>
      <c r="B176" s="123"/>
      <c r="C176" s="123"/>
      <c r="D176" s="123"/>
      <c r="E176" s="123"/>
      <c r="F176" s="123"/>
      <c r="G176" s="130"/>
      <c r="H176" s="123"/>
      <c r="I176" s="129"/>
      <c r="J176" s="129"/>
      <c r="K176" s="129"/>
      <c r="L176" s="129"/>
      <c r="M176" s="123"/>
      <c r="N176" s="123"/>
      <c r="O176" s="123"/>
      <c r="P176" s="123"/>
      <c r="Q176" s="123"/>
      <c r="R176" s="123"/>
      <c r="S176" s="123"/>
      <c r="T176" s="123"/>
      <c r="U176" s="123"/>
      <c r="V176" s="123"/>
      <c r="W176" s="74"/>
      <c r="X176" s="73"/>
      <c r="Y176" s="73"/>
      <c r="Z176" s="73"/>
      <c r="AA176" s="73"/>
      <c r="AB176" s="73"/>
      <c r="AC176" s="73"/>
      <c r="AD176" s="73"/>
      <c r="AE176" s="73"/>
      <c r="AF176" s="73"/>
      <c r="AG176" s="75"/>
    </row>
    <row r="177" spans="1:33" ht="13.5" customHeight="1">
      <c r="A177" s="73"/>
      <c r="B177" s="123"/>
      <c r="C177" s="123"/>
      <c r="D177" s="123"/>
      <c r="E177" s="123"/>
      <c r="F177" s="123"/>
      <c r="G177" s="130"/>
      <c r="H177" s="123"/>
      <c r="I177" s="129"/>
      <c r="J177" s="129"/>
      <c r="K177" s="129"/>
      <c r="L177" s="129"/>
      <c r="M177" s="123"/>
      <c r="N177" s="123"/>
      <c r="O177" s="123"/>
      <c r="P177" s="123"/>
      <c r="Q177" s="123"/>
      <c r="R177" s="123"/>
      <c r="S177" s="123"/>
      <c r="T177" s="123"/>
      <c r="U177" s="123"/>
      <c r="V177" s="123"/>
      <c r="W177" s="74"/>
      <c r="X177" s="73"/>
      <c r="Y177" s="73"/>
      <c r="Z177" s="73"/>
      <c r="AA177" s="73"/>
      <c r="AB177" s="73"/>
      <c r="AC177" s="73"/>
      <c r="AD177" s="73"/>
      <c r="AE177" s="73"/>
      <c r="AF177" s="73"/>
      <c r="AG177" s="75"/>
    </row>
    <row r="178" spans="1:33" ht="13.5" customHeight="1">
      <c r="A178" s="73"/>
      <c r="B178" s="123"/>
      <c r="C178" s="123"/>
      <c r="D178" s="123"/>
      <c r="E178" s="123"/>
      <c r="F178" s="123"/>
      <c r="G178" s="130"/>
      <c r="H178" s="123"/>
      <c r="I178" s="129"/>
      <c r="J178" s="129"/>
      <c r="K178" s="129"/>
      <c r="L178" s="129"/>
      <c r="M178" s="123"/>
      <c r="N178" s="123"/>
      <c r="O178" s="123"/>
      <c r="P178" s="123"/>
      <c r="Q178" s="123"/>
      <c r="R178" s="123"/>
      <c r="S178" s="123"/>
      <c r="T178" s="123"/>
      <c r="U178" s="123"/>
      <c r="V178" s="123"/>
      <c r="W178" s="74"/>
      <c r="X178" s="73"/>
      <c r="Y178" s="73"/>
      <c r="Z178" s="73"/>
      <c r="AA178" s="73"/>
      <c r="AB178" s="73"/>
      <c r="AC178" s="73"/>
      <c r="AD178" s="73"/>
      <c r="AE178" s="73"/>
      <c r="AF178" s="73"/>
      <c r="AG178" s="75"/>
    </row>
    <row r="179" spans="1:33" ht="13.5" customHeight="1">
      <c r="A179" s="73"/>
      <c r="B179" s="123"/>
      <c r="C179" s="123"/>
      <c r="D179" s="123"/>
      <c r="E179" s="123"/>
      <c r="F179" s="123"/>
      <c r="G179" s="130"/>
      <c r="H179" s="123"/>
      <c r="I179" s="129"/>
      <c r="J179" s="129"/>
      <c r="K179" s="129"/>
      <c r="L179" s="129"/>
      <c r="M179" s="123"/>
      <c r="N179" s="123"/>
      <c r="O179" s="123"/>
      <c r="P179" s="123"/>
      <c r="Q179" s="123"/>
      <c r="R179" s="123"/>
      <c r="S179" s="123"/>
      <c r="T179" s="123"/>
      <c r="U179" s="123"/>
      <c r="V179" s="123"/>
      <c r="W179" s="74"/>
      <c r="X179" s="73"/>
      <c r="Y179" s="73"/>
      <c r="Z179" s="73"/>
      <c r="AA179" s="73"/>
      <c r="AB179" s="73"/>
      <c r="AC179" s="73"/>
      <c r="AD179" s="73"/>
      <c r="AE179" s="73"/>
      <c r="AF179" s="73"/>
      <c r="AG179" s="75"/>
    </row>
    <row r="180" spans="1:33" ht="13.5" customHeight="1">
      <c r="A180" s="73"/>
      <c r="B180" s="123"/>
      <c r="C180" s="123"/>
      <c r="D180" s="123"/>
      <c r="E180" s="123"/>
      <c r="F180" s="123"/>
      <c r="G180" s="130"/>
      <c r="H180" s="123"/>
      <c r="I180" s="129"/>
      <c r="J180" s="129"/>
      <c r="K180" s="129"/>
      <c r="L180" s="129"/>
      <c r="M180" s="123"/>
      <c r="N180" s="123"/>
      <c r="O180" s="123"/>
      <c r="P180" s="123"/>
      <c r="Q180" s="123"/>
      <c r="R180" s="123"/>
      <c r="S180" s="123"/>
      <c r="T180" s="123"/>
      <c r="U180" s="123"/>
      <c r="V180" s="123"/>
      <c r="W180" s="74"/>
      <c r="X180" s="73"/>
      <c r="Y180" s="73"/>
      <c r="Z180" s="73"/>
      <c r="AA180" s="73"/>
      <c r="AB180" s="73"/>
      <c r="AC180" s="73"/>
      <c r="AD180" s="73"/>
      <c r="AE180" s="73"/>
      <c r="AF180" s="73"/>
      <c r="AG180" s="75"/>
    </row>
    <row r="181" spans="1:33" ht="13.5" customHeight="1">
      <c r="A181" s="73"/>
      <c r="B181" s="123"/>
      <c r="C181" s="123"/>
      <c r="D181" s="123"/>
      <c r="E181" s="123"/>
      <c r="F181" s="123"/>
      <c r="G181" s="130"/>
      <c r="H181" s="123"/>
      <c r="I181" s="129"/>
      <c r="J181" s="129"/>
      <c r="K181" s="129"/>
      <c r="L181" s="129"/>
      <c r="M181" s="123"/>
      <c r="N181" s="123"/>
      <c r="O181" s="123"/>
      <c r="P181" s="123"/>
      <c r="Q181" s="123"/>
      <c r="R181" s="123"/>
      <c r="S181" s="123"/>
      <c r="T181" s="123"/>
      <c r="U181" s="123"/>
      <c r="V181" s="123"/>
      <c r="W181" s="74"/>
      <c r="X181" s="73"/>
      <c r="Y181" s="73"/>
      <c r="Z181" s="73"/>
      <c r="AA181" s="73"/>
      <c r="AB181" s="73"/>
      <c r="AC181" s="73"/>
      <c r="AD181" s="73"/>
      <c r="AE181" s="73"/>
      <c r="AF181" s="73"/>
      <c r="AG181" s="75"/>
    </row>
    <row r="182" spans="1:33" ht="13.5" customHeight="1">
      <c r="A182" s="73"/>
      <c r="B182" s="123"/>
      <c r="C182" s="123"/>
      <c r="D182" s="123"/>
      <c r="E182" s="123"/>
      <c r="F182" s="123"/>
      <c r="G182" s="130"/>
      <c r="H182" s="123"/>
      <c r="I182" s="129"/>
      <c r="J182" s="129"/>
      <c r="K182" s="129"/>
      <c r="L182" s="129"/>
      <c r="M182" s="123"/>
      <c r="N182" s="123"/>
      <c r="O182" s="123"/>
      <c r="P182" s="123"/>
      <c r="Q182" s="123"/>
      <c r="R182" s="123"/>
      <c r="S182" s="123"/>
      <c r="T182" s="123"/>
      <c r="U182" s="123"/>
      <c r="V182" s="123"/>
      <c r="W182" s="74"/>
      <c r="X182" s="73"/>
      <c r="Y182" s="73"/>
      <c r="Z182" s="73"/>
      <c r="AA182" s="73"/>
      <c r="AB182" s="73"/>
      <c r="AC182" s="73"/>
      <c r="AD182" s="73"/>
      <c r="AE182" s="73"/>
      <c r="AF182" s="73"/>
      <c r="AG182" s="75"/>
    </row>
    <row r="183" spans="1:33" ht="13.5" customHeight="1">
      <c r="A183" s="73"/>
      <c r="B183" s="123"/>
      <c r="C183" s="123"/>
      <c r="D183" s="123"/>
      <c r="E183" s="123"/>
      <c r="F183" s="123"/>
      <c r="G183" s="130"/>
      <c r="H183" s="123"/>
      <c r="I183" s="129"/>
      <c r="J183" s="129"/>
      <c r="K183" s="129"/>
      <c r="L183" s="129"/>
      <c r="M183" s="123"/>
      <c r="N183" s="123"/>
      <c r="O183" s="123"/>
      <c r="P183" s="123"/>
      <c r="Q183" s="123"/>
      <c r="R183" s="123"/>
      <c r="S183" s="123"/>
      <c r="T183" s="123"/>
      <c r="U183" s="123"/>
      <c r="V183" s="123"/>
      <c r="W183" s="74"/>
      <c r="X183" s="73"/>
      <c r="Y183" s="73"/>
      <c r="Z183" s="73"/>
      <c r="AA183" s="73"/>
      <c r="AB183" s="73"/>
      <c r="AC183" s="73"/>
      <c r="AD183" s="73"/>
      <c r="AE183" s="73"/>
      <c r="AF183" s="73"/>
      <c r="AG183" s="75"/>
    </row>
    <row r="184" spans="1:33" ht="13.5" customHeight="1">
      <c r="A184" s="73"/>
      <c r="B184" s="123"/>
      <c r="C184" s="123"/>
      <c r="D184" s="123"/>
      <c r="E184" s="123"/>
      <c r="F184" s="123"/>
      <c r="G184" s="130"/>
      <c r="H184" s="123"/>
      <c r="I184" s="129"/>
      <c r="J184" s="129"/>
      <c r="K184" s="129"/>
      <c r="L184" s="129"/>
      <c r="M184" s="123"/>
      <c r="N184" s="123"/>
      <c r="O184" s="123"/>
      <c r="P184" s="123"/>
      <c r="Q184" s="123"/>
      <c r="R184" s="123"/>
      <c r="S184" s="123"/>
      <c r="T184" s="123"/>
      <c r="U184" s="123"/>
      <c r="V184" s="123"/>
      <c r="W184" s="74"/>
      <c r="X184" s="73"/>
      <c r="Y184" s="73"/>
      <c r="Z184" s="73"/>
      <c r="AA184" s="73"/>
      <c r="AB184" s="73"/>
      <c r="AC184" s="73"/>
      <c r="AD184" s="73"/>
      <c r="AE184" s="73"/>
      <c r="AF184" s="73"/>
      <c r="AG184" s="75"/>
    </row>
    <row r="185" spans="1:33" ht="13.5" customHeight="1">
      <c r="A185" s="73"/>
      <c r="B185" s="123"/>
      <c r="C185" s="123"/>
      <c r="D185" s="123"/>
      <c r="E185" s="123"/>
      <c r="F185" s="123"/>
      <c r="G185" s="130"/>
      <c r="H185" s="123"/>
      <c r="I185" s="129"/>
      <c r="J185" s="129"/>
      <c r="K185" s="129"/>
      <c r="L185" s="129"/>
      <c r="M185" s="123"/>
      <c r="N185" s="123"/>
      <c r="O185" s="123"/>
      <c r="P185" s="123"/>
      <c r="Q185" s="123"/>
      <c r="R185" s="123"/>
      <c r="S185" s="123"/>
      <c r="T185" s="123"/>
      <c r="U185" s="123"/>
      <c r="V185" s="123"/>
      <c r="W185" s="74"/>
      <c r="X185" s="73"/>
      <c r="Y185" s="73"/>
      <c r="Z185" s="73"/>
      <c r="AA185" s="73"/>
      <c r="AB185" s="73"/>
      <c r="AC185" s="73"/>
      <c r="AD185" s="73"/>
      <c r="AE185" s="73"/>
      <c r="AF185" s="73"/>
      <c r="AG185" s="75"/>
    </row>
    <row r="186" spans="1:33" ht="13.5" customHeight="1">
      <c r="A186" s="73"/>
      <c r="B186" s="123"/>
      <c r="C186" s="123"/>
      <c r="D186" s="123"/>
      <c r="E186" s="123"/>
      <c r="F186" s="123"/>
      <c r="G186" s="130"/>
      <c r="H186" s="123"/>
      <c r="I186" s="129"/>
      <c r="J186" s="129"/>
      <c r="K186" s="129"/>
      <c r="L186" s="129"/>
      <c r="M186" s="123"/>
      <c r="N186" s="123"/>
      <c r="O186" s="123"/>
      <c r="P186" s="123"/>
      <c r="Q186" s="123"/>
      <c r="R186" s="123"/>
      <c r="S186" s="123"/>
      <c r="T186" s="123"/>
      <c r="U186" s="123"/>
      <c r="V186" s="123"/>
      <c r="W186" s="74"/>
      <c r="X186" s="73"/>
      <c r="Y186" s="73"/>
      <c r="Z186" s="73"/>
      <c r="AA186" s="73"/>
      <c r="AB186" s="73"/>
      <c r="AC186" s="73"/>
      <c r="AD186" s="73"/>
      <c r="AE186" s="73"/>
      <c r="AF186" s="73"/>
      <c r="AG186" s="75"/>
    </row>
    <row r="187" spans="1:33" ht="13.5" customHeight="1">
      <c r="A187" s="73"/>
      <c r="B187" s="123"/>
      <c r="C187" s="123"/>
      <c r="D187" s="123"/>
      <c r="E187" s="123"/>
      <c r="F187" s="123"/>
      <c r="G187" s="130"/>
      <c r="H187" s="123"/>
      <c r="I187" s="129"/>
      <c r="J187" s="129"/>
      <c r="K187" s="129"/>
      <c r="L187" s="129"/>
      <c r="M187" s="123"/>
      <c r="N187" s="123"/>
      <c r="O187" s="123"/>
      <c r="P187" s="123"/>
      <c r="Q187" s="123"/>
      <c r="R187" s="123"/>
      <c r="S187" s="123"/>
      <c r="T187" s="123"/>
      <c r="U187" s="123"/>
      <c r="V187" s="123"/>
      <c r="W187" s="74"/>
      <c r="X187" s="73"/>
      <c r="Y187" s="73"/>
      <c r="Z187" s="73"/>
      <c r="AA187" s="73"/>
      <c r="AB187" s="73"/>
      <c r="AC187" s="73"/>
      <c r="AD187" s="73"/>
      <c r="AE187" s="73"/>
      <c r="AF187" s="73"/>
      <c r="AG187" s="75"/>
    </row>
    <row r="188" spans="1:33" ht="13.5" customHeight="1">
      <c r="A188" s="73"/>
      <c r="B188" s="123"/>
      <c r="C188" s="123"/>
      <c r="D188" s="123"/>
      <c r="E188" s="123"/>
      <c r="F188" s="123"/>
      <c r="G188" s="130"/>
      <c r="H188" s="123"/>
      <c r="I188" s="129"/>
      <c r="J188" s="129"/>
      <c r="K188" s="129"/>
      <c r="L188" s="129"/>
      <c r="M188" s="123"/>
      <c r="N188" s="123"/>
      <c r="O188" s="123"/>
      <c r="P188" s="123"/>
      <c r="Q188" s="123"/>
      <c r="R188" s="123"/>
      <c r="S188" s="123"/>
      <c r="T188" s="123"/>
      <c r="U188" s="123"/>
      <c r="V188" s="123"/>
      <c r="W188" s="74"/>
      <c r="X188" s="73"/>
      <c r="Y188" s="73"/>
      <c r="Z188" s="73"/>
      <c r="AA188" s="73"/>
      <c r="AB188" s="73"/>
      <c r="AC188" s="73"/>
      <c r="AD188" s="73"/>
      <c r="AE188" s="73"/>
      <c r="AF188" s="73"/>
      <c r="AG188" s="75"/>
    </row>
    <row r="189" spans="1:33" ht="13.5" customHeight="1">
      <c r="A189" s="73"/>
      <c r="B189" s="123"/>
      <c r="C189" s="123"/>
      <c r="D189" s="123"/>
      <c r="E189" s="123"/>
      <c r="F189" s="123"/>
      <c r="G189" s="130"/>
      <c r="H189" s="123"/>
      <c r="I189" s="129"/>
      <c r="J189" s="129"/>
      <c r="K189" s="129"/>
      <c r="L189" s="129"/>
      <c r="M189" s="123"/>
      <c r="N189" s="123"/>
      <c r="O189" s="123"/>
      <c r="P189" s="123"/>
      <c r="Q189" s="123"/>
      <c r="R189" s="123"/>
      <c r="S189" s="123"/>
      <c r="T189" s="123"/>
      <c r="U189" s="123"/>
      <c r="V189" s="123"/>
      <c r="W189" s="74"/>
      <c r="X189" s="73"/>
      <c r="Y189" s="73"/>
      <c r="Z189" s="73"/>
      <c r="AA189" s="73"/>
      <c r="AB189" s="73"/>
      <c r="AC189" s="73"/>
      <c r="AD189" s="73"/>
      <c r="AE189" s="73"/>
      <c r="AF189" s="73"/>
      <c r="AG189" s="75"/>
    </row>
    <row r="190" spans="1:33" ht="13.5" customHeight="1">
      <c r="A190" s="73"/>
      <c r="B190" s="123"/>
      <c r="C190" s="123"/>
      <c r="D190" s="123"/>
      <c r="E190" s="123"/>
      <c r="F190" s="123"/>
      <c r="G190" s="130"/>
      <c r="H190" s="123"/>
      <c r="I190" s="129"/>
      <c r="J190" s="129"/>
      <c r="K190" s="129"/>
      <c r="L190" s="129"/>
      <c r="M190" s="123"/>
      <c r="N190" s="123"/>
      <c r="O190" s="123"/>
      <c r="P190" s="123"/>
      <c r="Q190" s="123"/>
      <c r="R190" s="123"/>
      <c r="S190" s="123"/>
      <c r="T190" s="123"/>
      <c r="U190" s="123"/>
      <c r="V190" s="123"/>
      <c r="W190" s="74"/>
      <c r="X190" s="73"/>
      <c r="Y190" s="73"/>
      <c r="Z190" s="73"/>
      <c r="AA190" s="73"/>
      <c r="AB190" s="73"/>
      <c r="AC190" s="73"/>
      <c r="AD190" s="73"/>
      <c r="AE190" s="73"/>
      <c r="AF190" s="73"/>
      <c r="AG190" s="75"/>
    </row>
    <row r="191" spans="1:33" ht="13.5" customHeight="1">
      <c r="A191" s="73"/>
      <c r="B191" s="123"/>
      <c r="C191" s="123"/>
      <c r="D191" s="123"/>
      <c r="E191" s="123"/>
      <c r="F191" s="123"/>
      <c r="G191" s="130"/>
      <c r="H191" s="123"/>
      <c r="I191" s="129"/>
      <c r="J191" s="129"/>
      <c r="K191" s="129"/>
      <c r="L191" s="129"/>
      <c r="M191" s="123"/>
      <c r="N191" s="123"/>
      <c r="O191" s="123"/>
      <c r="P191" s="123"/>
      <c r="Q191" s="123"/>
      <c r="R191" s="123"/>
      <c r="S191" s="123"/>
      <c r="T191" s="123"/>
      <c r="U191" s="123"/>
      <c r="V191" s="123"/>
      <c r="W191" s="74"/>
      <c r="X191" s="73"/>
      <c r="Y191" s="73"/>
      <c r="Z191" s="73"/>
      <c r="AA191" s="73"/>
      <c r="AB191" s="73"/>
      <c r="AC191" s="73"/>
      <c r="AD191" s="73"/>
      <c r="AE191" s="73"/>
      <c r="AF191" s="73"/>
      <c r="AG191" s="75"/>
    </row>
    <row r="192" spans="1:33" ht="13.5" customHeight="1">
      <c r="A192" s="73"/>
      <c r="B192" s="123"/>
      <c r="C192" s="123"/>
      <c r="D192" s="123"/>
      <c r="E192" s="123"/>
      <c r="F192" s="123"/>
      <c r="G192" s="130"/>
      <c r="H192" s="123"/>
      <c r="I192" s="129"/>
      <c r="J192" s="129"/>
      <c r="K192" s="129"/>
      <c r="L192" s="129"/>
      <c r="M192" s="123"/>
      <c r="N192" s="123"/>
      <c r="O192" s="123"/>
      <c r="P192" s="123"/>
      <c r="Q192" s="123"/>
      <c r="R192" s="123"/>
      <c r="S192" s="123"/>
      <c r="T192" s="123"/>
      <c r="U192" s="123"/>
      <c r="V192" s="123"/>
      <c r="W192" s="74"/>
      <c r="X192" s="73"/>
      <c r="Y192" s="73"/>
      <c r="Z192" s="73"/>
      <c r="AA192" s="73"/>
      <c r="AB192" s="73"/>
      <c r="AC192" s="73"/>
      <c r="AD192" s="73"/>
      <c r="AE192" s="73"/>
      <c r="AF192" s="73"/>
      <c r="AG192" s="75"/>
    </row>
    <row r="193" spans="1:33" ht="13.5" customHeight="1">
      <c r="A193" s="73"/>
      <c r="B193" s="123"/>
      <c r="C193" s="123"/>
      <c r="D193" s="123"/>
      <c r="E193" s="123"/>
      <c r="F193" s="123"/>
      <c r="G193" s="130"/>
      <c r="H193" s="123"/>
      <c r="I193" s="129"/>
      <c r="J193" s="129"/>
      <c r="K193" s="129"/>
      <c r="L193" s="129"/>
      <c r="M193" s="123"/>
      <c r="N193" s="123"/>
      <c r="O193" s="123"/>
      <c r="P193" s="123"/>
      <c r="Q193" s="123"/>
      <c r="R193" s="123"/>
      <c r="S193" s="123"/>
      <c r="T193" s="123"/>
      <c r="U193" s="123"/>
      <c r="V193" s="123"/>
      <c r="W193" s="74"/>
      <c r="X193" s="73"/>
      <c r="Y193" s="73"/>
      <c r="Z193" s="73"/>
      <c r="AA193" s="73"/>
      <c r="AB193" s="73"/>
      <c r="AC193" s="73"/>
      <c r="AD193" s="73"/>
      <c r="AE193" s="73"/>
      <c r="AF193" s="73"/>
      <c r="AG193" s="75"/>
    </row>
    <row r="194" spans="1:33" ht="13.5" customHeight="1">
      <c r="A194" s="73"/>
      <c r="B194" s="123"/>
      <c r="C194" s="123"/>
      <c r="D194" s="123"/>
      <c r="E194" s="123"/>
      <c r="F194" s="123"/>
      <c r="G194" s="130"/>
      <c r="H194" s="123"/>
      <c r="I194" s="129"/>
      <c r="J194" s="129"/>
      <c r="K194" s="129"/>
      <c r="L194" s="129"/>
      <c r="M194" s="123"/>
      <c r="N194" s="123"/>
      <c r="O194" s="123"/>
      <c r="P194" s="123"/>
      <c r="Q194" s="123"/>
      <c r="R194" s="123"/>
      <c r="S194" s="123"/>
      <c r="T194" s="123"/>
      <c r="U194" s="123"/>
      <c r="V194" s="123"/>
      <c r="W194" s="74"/>
      <c r="X194" s="73"/>
      <c r="Y194" s="73"/>
      <c r="Z194" s="73"/>
      <c r="AA194" s="73"/>
      <c r="AB194" s="73"/>
      <c r="AC194" s="73"/>
      <c r="AD194" s="73"/>
      <c r="AE194" s="73"/>
      <c r="AF194" s="73"/>
      <c r="AG194" s="75"/>
    </row>
    <row r="195" spans="1:33" ht="13.5" customHeight="1">
      <c r="A195" s="73"/>
      <c r="B195" s="123"/>
      <c r="C195" s="123"/>
      <c r="D195" s="123"/>
      <c r="E195" s="123"/>
      <c r="F195" s="123"/>
      <c r="G195" s="130"/>
      <c r="H195" s="123"/>
      <c r="I195" s="129"/>
      <c r="J195" s="129"/>
      <c r="K195" s="129"/>
      <c r="L195" s="129"/>
      <c r="M195" s="123"/>
      <c r="N195" s="123"/>
      <c r="O195" s="123"/>
      <c r="P195" s="123"/>
      <c r="Q195" s="123"/>
      <c r="R195" s="123"/>
      <c r="S195" s="123"/>
      <c r="T195" s="123"/>
      <c r="U195" s="123"/>
      <c r="V195" s="123"/>
      <c r="W195" s="74"/>
      <c r="X195" s="73"/>
      <c r="Y195" s="73"/>
      <c r="Z195" s="73"/>
      <c r="AA195" s="73"/>
      <c r="AB195" s="73"/>
      <c r="AC195" s="73"/>
      <c r="AD195" s="73"/>
      <c r="AE195" s="73"/>
      <c r="AF195" s="73"/>
      <c r="AG195" s="75"/>
    </row>
    <row r="196" spans="1:33" ht="13.5" customHeight="1">
      <c r="A196" s="73"/>
      <c r="B196" s="123"/>
      <c r="C196" s="123"/>
      <c r="D196" s="123"/>
      <c r="E196" s="123"/>
      <c r="F196" s="123"/>
      <c r="G196" s="130"/>
      <c r="H196" s="123"/>
      <c r="I196" s="129"/>
      <c r="J196" s="129"/>
      <c r="K196" s="129"/>
      <c r="L196" s="129"/>
      <c r="M196" s="123"/>
      <c r="N196" s="123"/>
      <c r="O196" s="123"/>
      <c r="P196" s="123"/>
      <c r="Q196" s="123"/>
      <c r="R196" s="123"/>
      <c r="S196" s="123"/>
      <c r="T196" s="123"/>
      <c r="U196" s="123"/>
      <c r="V196" s="123"/>
      <c r="W196" s="74"/>
      <c r="X196" s="73"/>
      <c r="Y196" s="73"/>
      <c r="Z196" s="73"/>
      <c r="AA196" s="73"/>
      <c r="AB196" s="73"/>
      <c r="AC196" s="73"/>
      <c r="AD196" s="73"/>
      <c r="AE196" s="73"/>
      <c r="AF196" s="73"/>
      <c r="AG196" s="75"/>
    </row>
    <row r="197" spans="1:33" ht="13.5" customHeight="1">
      <c r="A197" s="73"/>
      <c r="B197" s="123"/>
      <c r="C197" s="123"/>
      <c r="D197" s="123"/>
      <c r="E197" s="123"/>
      <c r="F197" s="123"/>
      <c r="G197" s="130"/>
      <c r="H197" s="123"/>
      <c r="I197" s="129"/>
      <c r="J197" s="129"/>
      <c r="K197" s="129"/>
      <c r="L197" s="129"/>
      <c r="M197" s="123"/>
      <c r="N197" s="123"/>
      <c r="O197" s="123"/>
      <c r="P197" s="123"/>
      <c r="Q197" s="123"/>
      <c r="R197" s="123"/>
      <c r="S197" s="123"/>
      <c r="T197" s="123"/>
      <c r="U197" s="123"/>
      <c r="V197" s="123"/>
      <c r="W197" s="74"/>
      <c r="X197" s="73"/>
      <c r="Y197" s="73"/>
      <c r="Z197" s="73"/>
      <c r="AA197" s="73"/>
      <c r="AB197" s="73"/>
      <c r="AC197" s="73"/>
      <c r="AD197" s="73"/>
      <c r="AE197" s="73"/>
      <c r="AF197" s="73"/>
      <c r="AG197" s="75"/>
    </row>
    <row r="198" spans="1:33" ht="13.5" customHeight="1">
      <c r="A198" s="73"/>
      <c r="B198" s="123"/>
      <c r="C198" s="123"/>
      <c r="D198" s="123"/>
      <c r="E198" s="123"/>
      <c r="F198" s="123"/>
      <c r="G198" s="130"/>
      <c r="H198" s="123"/>
      <c r="I198" s="129"/>
      <c r="J198" s="129"/>
      <c r="K198" s="129"/>
      <c r="L198" s="129"/>
      <c r="M198" s="123"/>
      <c r="N198" s="123"/>
      <c r="O198" s="123"/>
      <c r="P198" s="123"/>
      <c r="Q198" s="123"/>
      <c r="R198" s="123"/>
      <c r="S198" s="123"/>
      <c r="T198" s="123"/>
      <c r="U198" s="123"/>
      <c r="V198" s="123"/>
      <c r="W198" s="74"/>
      <c r="X198" s="73"/>
      <c r="Y198" s="73"/>
      <c r="Z198" s="73"/>
      <c r="AA198" s="73"/>
      <c r="AB198" s="73"/>
      <c r="AC198" s="73"/>
      <c r="AD198" s="73"/>
      <c r="AE198" s="73"/>
      <c r="AF198" s="73"/>
      <c r="AG198" s="75"/>
    </row>
    <row r="199" spans="1:33" ht="13.5" customHeight="1">
      <c r="A199" s="73"/>
      <c r="B199" s="123"/>
      <c r="C199" s="123"/>
      <c r="D199" s="123"/>
      <c r="E199" s="123"/>
      <c r="F199" s="123"/>
      <c r="G199" s="130"/>
      <c r="H199" s="123"/>
      <c r="I199" s="129"/>
      <c r="J199" s="129"/>
      <c r="K199" s="129"/>
      <c r="L199" s="129"/>
      <c r="M199" s="123"/>
      <c r="N199" s="123"/>
      <c r="O199" s="123"/>
      <c r="P199" s="123"/>
      <c r="Q199" s="123"/>
      <c r="R199" s="123"/>
      <c r="S199" s="123"/>
      <c r="T199" s="123"/>
      <c r="U199" s="123"/>
      <c r="V199" s="123"/>
      <c r="W199" s="74"/>
      <c r="X199" s="73"/>
      <c r="Y199" s="73"/>
      <c r="Z199" s="73"/>
      <c r="AA199" s="73"/>
      <c r="AB199" s="73"/>
      <c r="AC199" s="73"/>
      <c r="AD199" s="73"/>
      <c r="AE199" s="73"/>
      <c r="AF199" s="73"/>
      <c r="AG199" s="75"/>
    </row>
    <row r="200" spans="1:33" ht="13.5" customHeight="1">
      <c r="A200" s="73"/>
      <c r="B200" s="123"/>
      <c r="C200" s="123"/>
      <c r="D200" s="123"/>
      <c r="E200" s="123"/>
      <c r="F200" s="123"/>
      <c r="G200" s="130"/>
      <c r="H200" s="123"/>
      <c r="I200" s="129"/>
      <c r="J200" s="129"/>
      <c r="K200" s="129"/>
      <c r="L200" s="129"/>
      <c r="M200" s="123"/>
      <c r="N200" s="123"/>
      <c r="O200" s="123"/>
      <c r="P200" s="123"/>
      <c r="Q200" s="123"/>
      <c r="R200" s="123"/>
      <c r="S200" s="123"/>
      <c r="T200" s="123"/>
      <c r="U200" s="123"/>
      <c r="V200" s="123"/>
      <c r="W200" s="74"/>
      <c r="X200" s="73"/>
      <c r="Y200" s="73"/>
      <c r="Z200" s="73"/>
      <c r="AA200" s="73"/>
      <c r="AB200" s="73"/>
      <c r="AC200" s="73"/>
      <c r="AD200" s="73"/>
      <c r="AE200" s="73"/>
      <c r="AF200" s="73"/>
      <c r="AG200" s="75"/>
    </row>
    <row r="201" spans="1:33" ht="13.5" customHeight="1">
      <c r="A201" s="73"/>
      <c r="B201" s="123"/>
      <c r="C201" s="123"/>
      <c r="D201" s="123"/>
      <c r="E201" s="123"/>
      <c r="F201" s="123"/>
      <c r="G201" s="130"/>
      <c r="H201" s="123"/>
      <c r="I201" s="129"/>
      <c r="J201" s="129"/>
      <c r="K201" s="129"/>
      <c r="L201" s="129"/>
      <c r="M201" s="123"/>
      <c r="N201" s="123"/>
      <c r="O201" s="123"/>
      <c r="P201" s="123"/>
      <c r="Q201" s="123"/>
      <c r="R201" s="123"/>
      <c r="S201" s="123"/>
      <c r="T201" s="123"/>
      <c r="U201" s="123"/>
      <c r="V201" s="123"/>
      <c r="W201" s="74"/>
      <c r="X201" s="73"/>
      <c r="Y201" s="73"/>
      <c r="Z201" s="73"/>
      <c r="AA201" s="73"/>
      <c r="AB201" s="73"/>
      <c r="AC201" s="73"/>
      <c r="AD201" s="73"/>
      <c r="AE201" s="73"/>
      <c r="AF201" s="73"/>
      <c r="AG201" s="75"/>
    </row>
    <row r="202" spans="1:33" ht="13.5" customHeight="1">
      <c r="A202" s="73"/>
      <c r="B202" s="123"/>
      <c r="C202" s="123"/>
      <c r="D202" s="123"/>
      <c r="E202" s="123"/>
      <c r="F202" s="123"/>
      <c r="G202" s="130"/>
      <c r="H202" s="123"/>
      <c r="I202" s="129"/>
      <c r="J202" s="129"/>
      <c r="K202" s="129"/>
      <c r="L202" s="129"/>
      <c r="M202" s="123"/>
      <c r="N202" s="123"/>
      <c r="O202" s="123"/>
      <c r="P202" s="123"/>
      <c r="Q202" s="123"/>
      <c r="R202" s="123"/>
      <c r="S202" s="123"/>
      <c r="T202" s="123"/>
      <c r="U202" s="123"/>
      <c r="V202" s="123"/>
      <c r="W202" s="74"/>
      <c r="X202" s="73"/>
      <c r="Y202" s="73"/>
      <c r="Z202" s="73"/>
      <c r="AA202" s="73"/>
      <c r="AB202" s="73"/>
      <c r="AC202" s="73"/>
      <c r="AD202" s="73"/>
      <c r="AE202" s="73"/>
      <c r="AF202" s="73"/>
      <c r="AG202" s="75"/>
    </row>
    <row r="203" spans="1:33" ht="13.5" customHeight="1">
      <c r="A203" s="73"/>
      <c r="B203" s="123"/>
      <c r="C203" s="123"/>
      <c r="D203" s="123"/>
      <c r="E203" s="123"/>
      <c r="F203" s="123"/>
      <c r="G203" s="130"/>
      <c r="H203" s="123"/>
      <c r="I203" s="129"/>
      <c r="J203" s="129"/>
      <c r="K203" s="129"/>
      <c r="L203" s="129"/>
      <c r="M203" s="123"/>
      <c r="N203" s="123"/>
      <c r="O203" s="123"/>
      <c r="P203" s="123"/>
      <c r="Q203" s="123"/>
      <c r="R203" s="123"/>
      <c r="S203" s="123"/>
      <c r="T203" s="123"/>
      <c r="U203" s="123"/>
      <c r="V203" s="123"/>
      <c r="W203" s="74"/>
      <c r="X203" s="73"/>
      <c r="Y203" s="73"/>
      <c r="Z203" s="73"/>
      <c r="AA203" s="73"/>
      <c r="AB203" s="73"/>
      <c r="AC203" s="73"/>
      <c r="AD203" s="73"/>
      <c r="AE203" s="73"/>
      <c r="AF203" s="73"/>
      <c r="AG203" s="75"/>
    </row>
    <row r="204" spans="1:33" ht="13.5" customHeight="1">
      <c r="A204" s="73"/>
      <c r="B204" s="123"/>
      <c r="C204" s="123"/>
      <c r="D204" s="123"/>
      <c r="E204" s="123"/>
      <c r="F204" s="123"/>
      <c r="G204" s="130"/>
      <c r="H204" s="123"/>
      <c r="I204" s="129"/>
      <c r="J204" s="129"/>
      <c r="K204" s="129"/>
      <c r="L204" s="129"/>
      <c r="M204" s="123"/>
      <c r="N204" s="123"/>
      <c r="O204" s="123"/>
      <c r="P204" s="123"/>
      <c r="Q204" s="123"/>
      <c r="R204" s="123"/>
      <c r="S204" s="123"/>
      <c r="T204" s="123"/>
      <c r="U204" s="123"/>
      <c r="V204" s="123"/>
      <c r="W204" s="74"/>
      <c r="X204" s="73"/>
      <c r="Y204" s="73"/>
      <c r="Z204" s="73"/>
      <c r="AA204" s="73"/>
      <c r="AB204" s="73"/>
      <c r="AC204" s="73"/>
      <c r="AD204" s="73"/>
      <c r="AE204" s="73"/>
      <c r="AF204" s="73"/>
      <c r="AG204" s="75"/>
    </row>
    <row r="205" spans="1:33" ht="13.5" customHeight="1">
      <c r="A205" s="73"/>
      <c r="B205" s="123"/>
      <c r="C205" s="123"/>
      <c r="D205" s="123"/>
      <c r="E205" s="123"/>
      <c r="F205" s="123"/>
      <c r="G205" s="130"/>
      <c r="H205" s="123"/>
      <c r="I205" s="129"/>
      <c r="J205" s="129"/>
      <c r="K205" s="129"/>
      <c r="L205" s="129"/>
      <c r="M205" s="123"/>
      <c r="N205" s="123"/>
      <c r="O205" s="123"/>
      <c r="P205" s="123"/>
      <c r="Q205" s="123"/>
      <c r="R205" s="123"/>
      <c r="S205" s="123"/>
      <c r="T205" s="123"/>
      <c r="U205" s="123"/>
      <c r="V205" s="123"/>
      <c r="W205" s="74"/>
      <c r="X205" s="73"/>
      <c r="Y205" s="73"/>
      <c r="Z205" s="73"/>
      <c r="AA205" s="73"/>
      <c r="AB205" s="73"/>
      <c r="AC205" s="73"/>
      <c r="AD205" s="73"/>
      <c r="AE205" s="73"/>
      <c r="AF205" s="73"/>
      <c r="AG205" s="75"/>
    </row>
    <row r="206" spans="1:33" ht="13.5" customHeight="1">
      <c r="A206" s="73"/>
      <c r="B206" s="123"/>
      <c r="C206" s="123"/>
      <c r="D206" s="123"/>
      <c r="E206" s="123"/>
      <c r="F206" s="123"/>
      <c r="G206" s="130"/>
      <c r="H206" s="123"/>
      <c r="I206" s="129"/>
      <c r="J206" s="129"/>
      <c r="K206" s="129"/>
      <c r="L206" s="129"/>
      <c r="M206" s="123"/>
      <c r="N206" s="123"/>
      <c r="O206" s="123"/>
      <c r="P206" s="123"/>
      <c r="Q206" s="123"/>
      <c r="R206" s="123"/>
      <c r="S206" s="123"/>
      <c r="T206" s="123"/>
      <c r="U206" s="123"/>
      <c r="V206" s="123"/>
      <c r="W206" s="74"/>
      <c r="X206" s="73"/>
      <c r="Y206" s="73"/>
      <c r="Z206" s="73"/>
      <c r="AA206" s="73"/>
      <c r="AB206" s="73"/>
      <c r="AC206" s="73"/>
      <c r="AD206" s="73"/>
      <c r="AE206" s="73"/>
      <c r="AF206" s="73"/>
      <c r="AG206" s="75"/>
    </row>
    <row r="207" spans="1:33" ht="13.5" customHeight="1">
      <c r="A207" s="73"/>
      <c r="B207" s="123"/>
      <c r="C207" s="123"/>
      <c r="D207" s="123"/>
      <c r="E207" s="123"/>
      <c r="F207" s="123"/>
      <c r="G207" s="130"/>
      <c r="H207" s="123"/>
      <c r="I207" s="129"/>
      <c r="J207" s="129"/>
      <c r="K207" s="129"/>
      <c r="L207" s="129"/>
      <c r="M207" s="123"/>
      <c r="N207" s="123"/>
      <c r="O207" s="123"/>
      <c r="P207" s="123"/>
      <c r="Q207" s="123"/>
      <c r="R207" s="123"/>
      <c r="S207" s="123"/>
      <c r="T207" s="123"/>
      <c r="U207" s="123"/>
      <c r="V207" s="123"/>
      <c r="W207" s="74"/>
      <c r="X207" s="73"/>
      <c r="Y207" s="73"/>
      <c r="Z207" s="73"/>
      <c r="AA207" s="73"/>
      <c r="AB207" s="73"/>
      <c r="AC207" s="73"/>
      <c r="AD207" s="73"/>
      <c r="AE207" s="73"/>
      <c r="AF207" s="73"/>
      <c r="AG207" s="75"/>
    </row>
    <row r="208" spans="1:33" ht="13.5" customHeight="1">
      <c r="A208" s="73"/>
      <c r="B208" s="123"/>
      <c r="C208" s="123"/>
      <c r="D208" s="123"/>
      <c r="E208" s="123"/>
      <c r="F208" s="123"/>
      <c r="G208" s="130"/>
      <c r="H208" s="123"/>
      <c r="I208" s="129"/>
      <c r="J208" s="129"/>
      <c r="K208" s="129"/>
      <c r="L208" s="129"/>
      <c r="M208" s="123"/>
      <c r="N208" s="123"/>
      <c r="O208" s="123"/>
      <c r="P208" s="123"/>
      <c r="Q208" s="123"/>
      <c r="R208" s="123"/>
      <c r="S208" s="123"/>
      <c r="T208" s="123"/>
      <c r="U208" s="123"/>
      <c r="V208" s="123"/>
      <c r="W208" s="74"/>
      <c r="X208" s="73"/>
      <c r="Y208" s="73"/>
      <c r="Z208" s="73"/>
      <c r="AA208" s="73"/>
      <c r="AB208" s="73"/>
      <c r="AC208" s="73"/>
      <c r="AD208" s="73"/>
      <c r="AE208" s="73"/>
      <c r="AF208" s="73"/>
      <c r="AG208" s="75"/>
    </row>
    <row r="209" spans="1:33" ht="13.5" customHeight="1">
      <c r="A209" s="73"/>
      <c r="B209" s="123"/>
      <c r="C209" s="123"/>
      <c r="D209" s="123"/>
      <c r="E209" s="123"/>
      <c r="F209" s="123"/>
      <c r="G209" s="130"/>
      <c r="H209" s="123"/>
      <c r="I209" s="129"/>
      <c r="J209" s="129"/>
      <c r="K209" s="129"/>
      <c r="L209" s="129"/>
      <c r="M209" s="123"/>
      <c r="N209" s="123"/>
      <c r="O209" s="123"/>
      <c r="P209" s="123"/>
      <c r="Q209" s="123"/>
      <c r="R209" s="123"/>
      <c r="S209" s="123"/>
      <c r="T209" s="123"/>
      <c r="U209" s="123"/>
      <c r="V209" s="123"/>
      <c r="W209" s="74"/>
      <c r="X209" s="73"/>
      <c r="Y209" s="73"/>
      <c r="Z209" s="73"/>
      <c r="AA209" s="73"/>
      <c r="AB209" s="73"/>
      <c r="AC209" s="73"/>
      <c r="AD209" s="73"/>
      <c r="AE209" s="73"/>
      <c r="AF209" s="73"/>
      <c r="AG209" s="75"/>
    </row>
    <row r="210" spans="1:33" ht="13.5" customHeight="1">
      <c r="A210" s="73"/>
      <c r="B210" s="123"/>
      <c r="C210" s="123"/>
      <c r="D210" s="123"/>
      <c r="E210" s="123"/>
      <c r="F210" s="123"/>
      <c r="G210" s="130"/>
      <c r="H210" s="123"/>
      <c r="I210" s="129"/>
      <c r="J210" s="129"/>
      <c r="K210" s="129"/>
      <c r="L210" s="129"/>
      <c r="M210" s="123"/>
      <c r="N210" s="123"/>
      <c r="O210" s="123"/>
      <c r="P210" s="123"/>
      <c r="Q210" s="123"/>
      <c r="R210" s="123"/>
      <c r="S210" s="123"/>
      <c r="T210" s="123"/>
      <c r="U210" s="123"/>
      <c r="V210" s="123"/>
      <c r="W210" s="74"/>
      <c r="X210" s="73"/>
      <c r="Y210" s="73"/>
      <c r="Z210" s="73"/>
      <c r="AA210" s="73"/>
      <c r="AB210" s="73"/>
      <c r="AC210" s="73"/>
      <c r="AD210" s="73"/>
      <c r="AE210" s="73"/>
      <c r="AF210" s="73"/>
      <c r="AG210" s="75"/>
    </row>
    <row r="211" spans="1:33" ht="13.5" customHeight="1">
      <c r="A211" s="73"/>
      <c r="B211" s="123"/>
      <c r="C211" s="123"/>
      <c r="D211" s="123"/>
      <c r="E211" s="123"/>
      <c r="F211" s="123"/>
      <c r="G211" s="130"/>
      <c r="H211" s="123"/>
      <c r="I211" s="129"/>
      <c r="J211" s="129"/>
      <c r="K211" s="129"/>
      <c r="L211" s="129"/>
      <c r="M211" s="123"/>
      <c r="N211" s="123"/>
      <c r="O211" s="123"/>
      <c r="P211" s="123"/>
      <c r="Q211" s="123"/>
      <c r="R211" s="123"/>
      <c r="S211" s="123"/>
      <c r="T211" s="123"/>
      <c r="U211" s="123"/>
      <c r="V211" s="123"/>
      <c r="W211" s="74"/>
      <c r="X211" s="73"/>
      <c r="Y211" s="73"/>
      <c r="Z211" s="73"/>
      <c r="AA211" s="73"/>
      <c r="AB211" s="73"/>
      <c r="AC211" s="73"/>
      <c r="AD211" s="73"/>
      <c r="AE211" s="73"/>
      <c r="AF211" s="73"/>
      <c r="AG211" s="75"/>
    </row>
    <row r="212" spans="1:33" ht="13.5" customHeight="1">
      <c r="A212" s="73"/>
      <c r="B212" s="123"/>
      <c r="C212" s="123"/>
      <c r="D212" s="123"/>
      <c r="E212" s="123"/>
      <c r="F212" s="123"/>
      <c r="G212" s="130"/>
      <c r="H212" s="123"/>
      <c r="I212" s="129"/>
      <c r="J212" s="129"/>
      <c r="K212" s="129"/>
      <c r="L212" s="129"/>
      <c r="M212" s="123"/>
      <c r="N212" s="123"/>
      <c r="O212" s="123"/>
      <c r="P212" s="123"/>
      <c r="Q212" s="123"/>
      <c r="R212" s="123"/>
      <c r="S212" s="123"/>
      <c r="T212" s="123"/>
      <c r="U212" s="123"/>
      <c r="V212" s="123"/>
      <c r="W212" s="74"/>
      <c r="X212" s="73"/>
      <c r="Y212" s="73"/>
      <c r="Z212" s="73"/>
      <c r="AA212" s="73"/>
      <c r="AB212" s="73"/>
      <c r="AC212" s="73"/>
      <c r="AD212" s="73"/>
      <c r="AE212" s="73"/>
      <c r="AF212" s="73"/>
      <c r="AG212" s="75"/>
    </row>
    <row r="213" spans="1:33" ht="13.5" customHeight="1">
      <c r="A213" s="73"/>
      <c r="B213" s="123"/>
      <c r="C213" s="123"/>
      <c r="D213" s="123"/>
      <c r="E213" s="123"/>
      <c r="F213" s="123"/>
      <c r="G213" s="130"/>
      <c r="H213" s="123"/>
      <c r="I213" s="129"/>
      <c r="J213" s="129"/>
      <c r="K213" s="129"/>
      <c r="L213" s="129"/>
      <c r="M213" s="123"/>
      <c r="N213" s="123"/>
      <c r="O213" s="123"/>
      <c r="P213" s="123"/>
      <c r="Q213" s="123"/>
      <c r="R213" s="123"/>
      <c r="S213" s="123"/>
      <c r="T213" s="123"/>
      <c r="U213" s="123"/>
      <c r="V213" s="123"/>
      <c r="W213" s="74"/>
      <c r="X213" s="73"/>
      <c r="Y213" s="73"/>
      <c r="Z213" s="73"/>
      <c r="AA213" s="73"/>
      <c r="AB213" s="73"/>
      <c r="AC213" s="73"/>
      <c r="AD213" s="73"/>
      <c r="AE213" s="73"/>
      <c r="AF213" s="73"/>
      <c r="AG213" s="75"/>
    </row>
    <row r="214" spans="1:33" ht="13.5" customHeight="1">
      <c r="A214" s="73"/>
      <c r="B214" s="123"/>
      <c r="C214" s="123"/>
      <c r="D214" s="123"/>
      <c r="E214" s="123"/>
      <c r="F214" s="123"/>
      <c r="G214" s="130"/>
      <c r="H214" s="123"/>
      <c r="I214" s="129"/>
      <c r="J214" s="129"/>
      <c r="K214" s="129"/>
      <c r="L214" s="129"/>
      <c r="M214" s="123"/>
      <c r="N214" s="123"/>
      <c r="O214" s="123"/>
      <c r="P214" s="123"/>
      <c r="Q214" s="123"/>
      <c r="R214" s="123"/>
      <c r="S214" s="123"/>
      <c r="T214" s="123"/>
      <c r="U214" s="123"/>
      <c r="V214" s="123"/>
      <c r="W214" s="74"/>
      <c r="X214" s="73"/>
      <c r="Y214" s="73"/>
      <c r="Z214" s="73"/>
      <c r="AA214" s="73"/>
      <c r="AB214" s="73"/>
      <c r="AC214" s="73"/>
      <c r="AD214" s="73"/>
      <c r="AE214" s="73"/>
      <c r="AF214" s="73"/>
      <c r="AG214" s="75"/>
    </row>
    <row r="215" spans="1:33" ht="13.5" customHeight="1">
      <c r="A215" s="73"/>
      <c r="B215" s="123"/>
      <c r="C215" s="123"/>
      <c r="D215" s="123"/>
      <c r="E215" s="123"/>
      <c r="F215" s="123"/>
      <c r="G215" s="130"/>
      <c r="H215" s="123"/>
      <c r="I215" s="129"/>
      <c r="J215" s="129"/>
      <c r="K215" s="129"/>
      <c r="L215" s="129"/>
      <c r="M215" s="123"/>
      <c r="N215" s="123"/>
      <c r="O215" s="123"/>
      <c r="P215" s="123"/>
      <c r="Q215" s="123"/>
      <c r="R215" s="123"/>
      <c r="S215" s="123"/>
      <c r="T215" s="123"/>
      <c r="U215" s="123"/>
      <c r="V215" s="123"/>
      <c r="W215" s="74"/>
      <c r="X215" s="73"/>
      <c r="Y215" s="73"/>
      <c r="Z215" s="73"/>
      <c r="AA215" s="73"/>
      <c r="AB215" s="73"/>
      <c r="AC215" s="73"/>
      <c r="AD215" s="73"/>
      <c r="AE215" s="73"/>
      <c r="AF215" s="73"/>
      <c r="AG215" s="75"/>
    </row>
    <row r="216" spans="1:33" ht="13.5" customHeight="1">
      <c r="A216" s="73"/>
      <c r="B216" s="123"/>
      <c r="C216" s="123"/>
      <c r="D216" s="123"/>
      <c r="E216" s="123"/>
      <c r="F216" s="123"/>
      <c r="G216" s="130"/>
      <c r="H216" s="123"/>
      <c r="I216" s="129"/>
      <c r="J216" s="129"/>
      <c r="K216" s="129"/>
      <c r="L216" s="129"/>
      <c r="M216" s="123"/>
      <c r="N216" s="123"/>
      <c r="O216" s="123"/>
      <c r="P216" s="123"/>
      <c r="Q216" s="123"/>
      <c r="R216" s="123"/>
      <c r="S216" s="123"/>
      <c r="T216" s="123"/>
      <c r="U216" s="123"/>
      <c r="V216" s="123"/>
      <c r="W216" s="74"/>
      <c r="X216" s="73"/>
      <c r="Y216" s="73"/>
      <c r="Z216" s="73"/>
      <c r="AA216" s="73"/>
      <c r="AB216" s="73"/>
      <c r="AC216" s="73"/>
      <c r="AD216" s="73"/>
      <c r="AE216" s="73"/>
      <c r="AF216" s="73"/>
      <c r="AG216" s="75"/>
    </row>
    <row r="217" spans="1:33" ht="13.5" customHeight="1">
      <c r="A217" s="73"/>
      <c r="B217" s="123"/>
      <c r="C217" s="123"/>
      <c r="D217" s="123"/>
      <c r="E217" s="123"/>
      <c r="F217" s="123"/>
      <c r="G217" s="130"/>
      <c r="H217" s="123"/>
      <c r="I217" s="129"/>
      <c r="J217" s="129"/>
      <c r="K217" s="129"/>
      <c r="L217" s="129"/>
      <c r="M217" s="123"/>
      <c r="N217" s="123"/>
      <c r="O217" s="123"/>
      <c r="P217" s="123"/>
      <c r="Q217" s="123"/>
      <c r="R217" s="123"/>
      <c r="S217" s="123"/>
      <c r="T217" s="123"/>
      <c r="U217" s="123"/>
      <c r="V217" s="123"/>
      <c r="W217" s="74"/>
      <c r="X217" s="73"/>
      <c r="Y217" s="73"/>
      <c r="Z217" s="73"/>
      <c r="AA217" s="73"/>
      <c r="AB217" s="73"/>
      <c r="AC217" s="73"/>
      <c r="AD217" s="73"/>
      <c r="AE217" s="73"/>
      <c r="AF217" s="73"/>
      <c r="AG217" s="75"/>
    </row>
    <row r="218" spans="1:33" ht="13.5" customHeight="1">
      <c r="A218" s="73"/>
      <c r="B218" s="123"/>
      <c r="C218" s="123"/>
      <c r="D218" s="123"/>
      <c r="E218" s="123"/>
      <c r="F218" s="123"/>
      <c r="G218" s="130"/>
      <c r="H218" s="123"/>
      <c r="I218" s="129"/>
      <c r="J218" s="129"/>
      <c r="K218" s="129"/>
      <c r="L218" s="129"/>
      <c r="M218" s="123"/>
      <c r="N218" s="123"/>
      <c r="O218" s="123"/>
      <c r="P218" s="123"/>
      <c r="Q218" s="123"/>
      <c r="R218" s="123"/>
      <c r="S218" s="123"/>
      <c r="T218" s="123"/>
      <c r="U218" s="123"/>
      <c r="V218" s="123"/>
      <c r="W218" s="74"/>
      <c r="X218" s="73"/>
      <c r="Y218" s="73"/>
      <c r="Z218" s="73"/>
      <c r="AA218" s="73"/>
      <c r="AB218" s="73"/>
      <c r="AC218" s="73"/>
      <c r="AD218" s="73"/>
      <c r="AE218" s="73"/>
      <c r="AF218" s="73"/>
      <c r="AG218" s="75"/>
    </row>
    <row r="219" spans="1:33" ht="13.5" customHeight="1">
      <c r="A219" s="73"/>
      <c r="B219" s="123"/>
      <c r="C219" s="123"/>
      <c r="D219" s="123"/>
      <c r="E219" s="123"/>
      <c r="F219" s="123"/>
      <c r="G219" s="130"/>
      <c r="H219" s="123"/>
      <c r="I219" s="129"/>
      <c r="J219" s="129"/>
      <c r="K219" s="129"/>
      <c r="L219" s="129"/>
      <c r="M219" s="123"/>
      <c r="N219" s="123"/>
      <c r="O219" s="123"/>
      <c r="P219" s="123"/>
      <c r="Q219" s="123"/>
      <c r="R219" s="123"/>
      <c r="S219" s="123"/>
      <c r="T219" s="123"/>
      <c r="U219" s="123"/>
      <c r="V219" s="123"/>
      <c r="W219" s="74"/>
      <c r="X219" s="73"/>
      <c r="Y219" s="73"/>
      <c r="Z219" s="73"/>
      <c r="AA219" s="73"/>
      <c r="AB219" s="73"/>
      <c r="AC219" s="73"/>
      <c r="AD219" s="73"/>
      <c r="AE219" s="73"/>
      <c r="AF219" s="73"/>
      <c r="AG219" s="75"/>
    </row>
    <row r="220" spans="1:33" ht="13.5" customHeight="1">
      <c r="A220" s="73"/>
      <c r="B220" s="123"/>
      <c r="C220" s="123"/>
      <c r="D220" s="123"/>
      <c r="E220" s="123"/>
      <c r="F220" s="123"/>
      <c r="G220" s="130"/>
      <c r="H220" s="123"/>
      <c r="I220" s="129"/>
      <c r="J220" s="129"/>
      <c r="K220" s="129"/>
      <c r="L220" s="129"/>
      <c r="M220" s="123"/>
      <c r="N220" s="123"/>
      <c r="O220" s="123"/>
      <c r="P220" s="123"/>
      <c r="Q220" s="123"/>
      <c r="R220" s="123"/>
      <c r="S220" s="123"/>
      <c r="T220" s="123"/>
      <c r="U220" s="123"/>
      <c r="V220" s="123"/>
      <c r="W220" s="74"/>
      <c r="X220" s="73"/>
      <c r="Y220" s="73"/>
      <c r="Z220" s="73"/>
      <c r="AA220" s="73"/>
      <c r="AB220" s="73"/>
      <c r="AC220" s="73"/>
      <c r="AD220" s="73"/>
      <c r="AE220" s="73"/>
      <c r="AF220" s="73"/>
      <c r="AG220" s="75"/>
    </row>
    <row r="221" spans="1:33" ht="13.5" customHeight="1">
      <c r="A221" s="73"/>
      <c r="B221" s="123"/>
      <c r="C221" s="123"/>
      <c r="D221" s="123"/>
      <c r="E221" s="123"/>
      <c r="F221" s="123"/>
      <c r="G221" s="130"/>
      <c r="H221" s="123"/>
      <c r="I221" s="129"/>
      <c r="J221" s="129"/>
      <c r="K221" s="129"/>
      <c r="L221" s="129"/>
      <c r="M221" s="123"/>
      <c r="N221" s="123"/>
      <c r="O221" s="123"/>
      <c r="P221" s="123"/>
      <c r="Q221" s="123"/>
      <c r="R221" s="123"/>
      <c r="S221" s="123"/>
      <c r="T221" s="123"/>
      <c r="U221" s="123"/>
      <c r="V221" s="123"/>
      <c r="W221" s="74"/>
      <c r="X221" s="73"/>
      <c r="Y221" s="73"/>
      <c r="Z221" s="73"/>
      <c r="AA221" s="73"/>
      <c r="AB221" s="73"/>
      <c r="AC221" s="73"/>
      <c r="AD221" s="73"/>
      <c r="AE221" s="73"/>
      <c r="AF221" s="73"/>
      <c r="AG221" s="75"/>
    </row>
    <row r="222" spans="1:33" ht="13.5" customHeight="1">
      <c r="A222" s="73"/>
      <c r="B222" s="123"/>
      <c r="C222" s="123"/>
      <c r="D222" s="123"/>
      <c r="E222" s="123"/>
      <c r="F222" s="123"/>
      <c r="G222" s="130"/>
      <c r="H222" s="123"/>
      <c r="I222" s="129"/>
      <c r="J222" s="129"/>
      <c r="K222" s="129"/>
      <c r="L222" s="129"/>
      <c r="M222" s="123"/>
      <c r="N222" s="123"/>
      <c r="O222" s="123"/>
      <c r="P222" s="123"/>
      <c r="Q222" s="123"/>
      <c r="R222" s="123"/>
      <c r="S222" s="123"/>
      <c r="T222" s="123"/>
      <c r="U222" s="123"/>
      <c r="V222" s="123"/>
      <c r="W222" s="74"/>
      <c r="X222" s="73"/>
      <c r="Y222" s="73"/>
      <c r="Z222" s="73"/>
      <c r="AA222" s="73"/>
      <c r="AB222" s="73"/>
      <c r="AC222" s="73"/>
      <c r="AD222" s="73"/>
      <c r="AE222" s="73"/>
      <c r="AF222" s="73"/>
      <c r="AG222" s="75"/>
    </row>
    <row r="223" spans="1:33" ht="13.5" customHeight="1">
      <c r="A223" s="73"/>
      <c r="B223" s="123"/>
      <c r="C223" s="123"/>
      <c r="D223" s="123"/>
      <c r="E223" s="123"/>
      <c r="F223" s="123"/>
      <c r="G223" s="130"/>
      <c r="H223" s="123"/>
      <c r="I223" s="129"/>
      <c r="J223" s="129"/>
      <c r="K223" s="129"/>
      <c r="L223" s="129"/>
      <c r="M223" s="123"/>
      <c r="N223" s="123"/>
      <c r="O223" s="123"/>
      <c r="P223" s="123"/>
      <c r="Q223" s="123"/>
      <c r="R223" s="123"/>
      <c r="S223" s="123"/>
      <c r="T223" s="123"/>
      <c r="U223" s="123"/>
      <c r="V223" s="123"/>
      <c r="W223" s="74"/>
      <c r="X223" s="73"/>
      <c r="Y223" s="73"/>
      <c r="Z223" s="73"/>
      <c r="AA223" s="73"/>
      <c r="AB223" s="73"/>
      <c r="AC223" s="73"/>
      <c r="AD223" s="73"/>
      <c r="AE223" s="73"/>
      <c r="AF223" s="73"/>
      <c r="AG223" s="75"/>
    </row>
    <row r="224" spans="1:33" ht="13.5" customHeight="1">
      <c r="A224" s="73"/>
      <c r="B224" s="123"/>
      <c r="C224" s="123"/>
      <c r="D224" s="123"/>
      <c r="E224" s="123"/>
      <c r="F224" s="123"/>
      <c r="G224" s="130"/>
      <c r="H224" s="123"/>
      <c r="I224" s="129"/>
      <c r="J224" s="129"/>
      <c r="K224" s="129"/>
      <c r="L224" s="129"/>
      <c r="M224" s="123"/>
      <c r="N224" s="123"/>
      <c r="O224" s="123"/>
      <c r="P224" s="123"/>
      <c r="Q224" s="123"/>
      <c r="R224" s="123"/>
      <c r="S224" s="123"/>
      <c r="T224" s="123"/>
      <c r="U224" s="123"/>
      <c r="V224" s="123"/>
      <c r="W224" s="74"/>
      <c r="X224" s="73"/>
      <c r="Y224" s="73"/>
      <c r="Z224" s="73"/>
      <c r="AA224" s="73"/>
      <c r="AB224" s="73"/>
      <c r="AC224" s="73"/>
      <c r="AD224" s="73"/>
      <c r="AE224" s="73"/>
      <c r="AF224" s="73"/>
      <c r="AG224" s="75"/>
    </row>
    <row r="225" spans="1:33" ht="13.5" customHeight="1">
      <c r="A225" s="73"/>
      <c r="B225" s="123"/>
      <c r="C225" s="123"/>
      <c r="D225" s="123"/>
      <c r="E225" s="123"/>
      <c r="F225" s="123"/>
      <c r="G225" s="130"/>
      <c r="H225" s="123"/>
      <c r="I225" s="129"/>
      <c r="J225" s="129"/>
      <c r="K225" s="129"/>
      <c r="L225" s="129"/>
      <c r="M225" s="123"/>
      <c r="N225" s="123"/>
      <c r="O225" s="123"/>
      <c r="P225" s="123"/>
      <c r="Q225" s="123"/>
      <c r="R225" s="123"/>
      <c r="S225" s="123"/>
      <c r="T225" s="123"/>
      <c r="U225" s="123"/>
      <c r="V225" s="123"/>
      <c r="W225" s="74"/>
      <c r="X225" s="73"/>
      <c r="Y225" s="73"/>
      <c r="Z225" s="73"/>
      <c r="AA225" s="73"/>
      <c r="AB225" s="73"/>
      <c r="AC225" s="73"/>
      <c r="AD225" s="73"/>
      <c r="AE225" s="73"/>
      <c r="AF225" s="73"/>
      <c r="AG225" s="75"/>
    </row>
    <row r="226" spans="1:33" ht="13.5" customHeight="1">
      <c r="A226" s="73"/>
      <c r="B226" s="123"/>
      <c r="C226" s="123"/>
      <c r="D226" s="123"/>
      <c r="E226" s="123"/>
      <c r="F226" s="123"/>
      <c r="G226" s="130"/>
      <c r="H226" s="123"/>
      <c r="I226" s="129"/>
      <c r="J226" s="129"/>
      <c r="K226" s="129"/>
      <c r="L226" s="129"/>
      <c r="M226" s="123"/>
      <c r="N226" s="123"/>
      <c r="O226" s="123"/>
      <c r="P226" s="123"/>
      <c r="Q226" s="123"/>
      <c r="R226" s="123"/>
      <c r="S226" s="123"/>
      <c r="T226" s="123"/>
      <c r="U226" s="123"/>
      <c r="V226" s="123"/>
      <c r="W226" s="74"/>
      <c r="X226" s="73"/>
      <c r="Y226" s="73"/>
      <c r="Z226" s="73"/>
      <c r="AA226" s="73"/>
      <c r="AB226" s="73"/>
      <c r="AC226" s="73"/>
      <c r="AD226" s="73"/>
      <c r="AE226" s="73"/>
      <c r="AF226" s="73"/>
      <c r="AG226" s="75"/>
    </row>
    <row r="227" spans="1:33" ht="13.5" customHeight="1">
      <c r="A227" s="73"/>
      <c r="B227" s="123"/>
      <c r="C227" s="123"/>
      <c r="D227" s="123"/>
      <c r="E227" s="123"/>
      <c r="F227" s="123"/>
      <c r="G227" s="130"/>
      <c r="H227" s="123"/>
      <c r="I227" s="129"/>
      <c r="J227" s="129"/>
      <c r="K227" s="129"/>
      <c r="L227" s="129"/>
      <c r="M227" s="123"/>
      <c r="N227" s="123"/>
      <c r="O227" s="123"/>
      <c r="P227" s="123"/>
      <c r="Q227" s="123"/>
      <c r="R227" s="123"/>
      <c r="S227" s="123"/>
      <c r="T227" s="123"/>
      <c r="U227" s="123"/>
      <c r="V227" s="123"/>
      <c r="W227" s="74"/>
      <c r="X227" s="73"/>
      <c r="Y227" s="73"/>
      <c r="Z227" s="73"/>
      <c r="AA227" s="73"/>
      <c r="AB227" s="73"/>
      <c r="AC227" s="73"/>
      <c r="AD227" s="73"/>
      <c r="AE227" s="73"/>
      <c r="AF227" s="73"/>
      <c r="AG227" s="75"/>
    </row>
    <row r="228" spans="1:33" ht="13.5" customHeight="1">
      <c r="A228" s="73"/>
      <c r="B228" s="123"/>
      <c r="C228" s="123"/>
      <c r="D228" s="123"/>
      <c r="E228" s="123"/>
      <c r="F228" s="123"/>
      <c r="G228" s="130"/>
      <c r="H228" s="123"/>
      <c r="I228" s="129"/>
      <c r="J228" s="129"/>
      <c r="K228" s="129"/>
      <c r="L228" s="129"/>
      <c r="M228" s="123"/>
      <c r="N228" s="123"/>
      <c r="O228" s="123"/>
      <c r="P228" s="123"/>
      <c r="Q228" s="123"/>
      <c r="R228" s="123"/>
      <c r="S228" s="123"/>
      <c r="T228" s="123"/>
      <c r="U228" s="123"/>
      <c r="V228" s="123"/>
      <c r="W228" s="74"/>
      <c r="X228" s="73"/>
      <c r="Y228" s="73"/>
      <c r="Z228" s="73"/>
      <c r="AA228" s="73"/>
      <c r="AB228" s="73"/>
      <c r="AC228" s="73"/>
      <c r="AD228" s="73"/>
      <c r="AE228" s="73"/>
      <c r="AF228" s="73"/>
      <c r="AG228" s="75"/>
    </row>
    <row r="229" spans="1:33" ht="13.5" customHeight="1">
      <c r="A229" s="73"/>
      <c r="B229" s="123"/>
      <c r="C229" s="123"/>
      <c r="D229" s="123"/>
      <c r="E229" s="123"/>
      <c r="F229" s="123"/>
      <c r="G229" s="130"/>
      <c r="H229" s="123"/>
      <c r="I229" s="129"/>
      <c r="J229" s="129"/>
      <c r="K229" s="129"/>
      <c r="L229" s="129"/>
      <c r="M229" s="123"/>
      <c r="N229" s="123"/>
      <c r="O229" s="123"/>
      <c r="P229" s="123"/>
      <c r="Q229" s="123"/>
      <c r="R229" s="123"/>
      <c r="S229" s="123"/>
      <c r="T229" s="123"/>
      <c r="U229" s="123"/>
      <c r="V229" s="123"/>
      <c r="W229" s="74"/>
      <c r="X229" s="73"/>
      <c r="Y229" s="73"/>
      <c r="Z229" s="73"/>
      <c r="AA229" s="73"/>
      <c r="AB229" s="73"/>
      <c r="AC229" s="73"/>
      <c r="AD229" s="73"/>
      <c r="AE229" s="73"/>
      <c r="AF229" s="73"/>
      <c r="AG229" s="75"/>
    </row>
    <row r="230" spans="1:33" ht="13.5" customHeight="1">
      <c r="A230" s="73"/>
      <c r="B230" s="123"/>
      <c r="C230" s="123"/>
      <c r="D230" s="123"/>
      <c r="E230" s="123"/>
      <c r="F230" s="123"/>
      <c r="G230" s="130"/>
      <c r="H230" s="123"/>
      <c r="I230" s="129"/>
      <c r="J230" s="129"/>
      <c r="K230" s="129"/>
      <c r="L230" s="129"/>
      <c r="M230" s="123"/>
      <c r="N230" s="123"/>
      <c r="O230" s="123"/>
      <c r="P230" s="123"/>
      <c r="Q230" s="123"/>
      <c r="R230" s="123"/>
      <c r="S230" s="123"/>
      <c r="T230" s="123"/>
      <c r="U230" s="123"/>
      <c r="V230" s="123"/>
      <c r="W230" s="74"/>
      <c r="X230" s="73"/>
      <c r="Y230" s="73"/>
      <c r="Z230" s="73"/>
      <c r="AA230" s="73"/>
      <c r="AB230" s="73"/>
      <c r="AC230" s="73"/>
      <c r="AD230" s="73"/>
      <c r="AE230" s="73"/>
      <c r="AF230" s="73"/>
      <c r="AG230" s="75"/>
    </row>
    <row r="231" spans="1:33" ht="13.5" customHeight="1">
      <c r="A231" s="73"/>
      <c r="B231" s="123"/>
      <c r="C231" s="123"/>
      <c r="D231" s="123"/>
      <c r="E231" s="123"/>
      <c r="F231" s="123"/>
      <c r="G231" s="130"/>
      <c r="H231" s="123"/>
      <c r="I231" s="129"/>
      <c r="J231" s="129"/>
      <c r="K231" s="129"/>
      <c r="L231" s="129"/>
      <c r="M231" s="123"/>
      <c r="N231" s="123"/>
      <c r="O231" s="123"/>
      <c r="P231" s="123"/>
      <c r="Q231" s="123"/>
      <c r="R231" s="123"/>
      <c r="S231" s="123"/>
      <c r="T231" s="123"/>
      <c r="U231" s="123"/>
      <c r="V231" s="123"/>
      <c r="W231" s="74"/>
      <c r="X231" s="73"/>
      <c r="Y231" s="73"/>
      <c r="Z231" s="73"/>
      <c r="AA231" s="73"/>
      <c r="AB231" s="73"/>
      <c r="AC231" s="73"/>
      <c r="AD231" s="73"/>
      <c r="AE231" s="73"/>
      <c r="AF231" s="73"/>
      <c r="AG231" s="75"/>
    </row>
    <row r="232" spans="1:33" ht="13.5" customHeight="1">
      <c r="A232" s="73"/>
      <c r="B232" s="123"/>
      <c r="C232" s="123"/>
      <c r="D232" s="123"/>
      <c r="E232" s="123"/>
      <c r="F232" s="123"/>
      <c r="G232" s="130"/>
      <c r="H232" s="123"/>
      <c r="I232" s="129"/>
      <c r="J232" s="129"/>
      <c r="K232" s="129"/>
      <c r="L232" s="129"/>
      <c r="M232" s="123"/>
      <c r="N232" s="123"/>
      <c r="O232" s="123"/>
      <c r="P232" s="123"/>
      <c r="Q232" s="123"/>
      <c r="R232" s="123"/>
      <c r="S232" s="123"/>
      <c r="T232" s="123"/>
      <c r="U232" s="123"/>
      <c r="V232" s="123"/>
      <c r="W232" s="74"/>
      <c r="X232" s="73"/>
      <c r="Y232" s="73"/>
      <c r="Z232" s="73"/>
      <c r="AA232" s="73"/>
      <c r="AB232" s="73"/>
      <c r="AC232" s="73"/>
      <c r="AD232" s="73"/>
      <c r="AE232" s="73"/>
      <c r="AF232" s="73"/>
      <c r="AG232" s="75"/>
    </row>
    <row r="233" spans="1:33" ht="13.5" customHeight="1">
      <c r="A233" s="73"/>
      <c r="B233" s="123"/>
      <c r="C233" s="123"/>
      <c r="D233" s="123"/>
      <c r="E233" s="123"/>
      <c r="F233" s="123"/>
      <c r="G233" s="130"/>
      <c r="H233" s="123"/>
      <c r="I233" s="129"/>
      <c r="J233" s="129"/>
      <c r="K233" s="129"/>
      <c r="L233" s="129"/>
      <c r="M233" s="123"/>
      <c r="N233" s="123"/>
      <c r="O233" s="123"/>
      <c r="P233" s="123"/>
      <c r="Q233" s="123"/>
      <c r="R233" s="123"/>
      <c r="S233" s="123"/>
      <c r="T233" s="123"/>
      <c r="U233" s="123"/>
      <c r="V233" s="123"/>
      <c r="W233" s="74"/>
      <c r="X233" s="73"/>
      <c r="Y233" s="73"/>
      <c r="Z233" s="73"/>
      <c r="AA233" s="73"/>
      <c r="AB233" s="73"/>
      <c r="AC233" s="73"/>
      <c r="AD233" s="73"/>
      <c r="AE233" s="73"/>
      <c r="AF233" s="73"/>
      <c r="AG233" s="75"/>
    </row>
    <row r="234" spans="1:33" ht="13.5" customHeight="1">
      <c r="A234" s="73"/>
      <c r="B234" s="123"/>
      <c r="C234" s="123"/>
      <c r="D234" s="123"/>
      <c r="E234" s="123"/>
      <c r="F234" s="123"/>
      <c r="G234" s="130"/>
      <c r="H234" s="123"/>
      <c r="I234" s="129"/>
      <c r="J234" s="129"/>
      <c r="K234" s="129"/>
      <c r="L234" s="129"/>
      <c r="M234" s="123"/>
      <c r="N234" s="123"/>
      <c r="O234" s="123"/>
      <c r="P234" s="123"/>
      <c r="Q234" s="123"/>
      <c r="R234" s="123"/>
      <c r="S234" s="123"/>
      <c r="T234" s="123"/>
      <c r="U234" s="123"/>
      <c r="V234" s="123"/>
      <c r="W234" s="74"/>
      <c r="X234" s="73"/>
      <c r="Y234" s="73"/>
      <c r="Z234" s="73"/>
      <c r="AA234" s="73"/>
      <c r="AB234" s="73"/>
      <c r="AC234" s="73"/>
      <c r="AD234" s="73"/>
      <c r="AE234" s="73"/>
      <c r="AF234" s="73"/>
      <c r="AG234" s="75"/>
    </row>
    <row r="235" spans="1:33" ht="13.5" customHeight="1">
      <c r="A235" s="73"/>
      <c r="B235" s="123"/>
      <c r="C235" s="123"/>
      <c r="D235" s="123"/>
      <c r="E235" s="123"/>
      <c r="F235" s="123"/>
      <c r="G235" s="130"/>
      <c r="H235" s="123"/>
      <c r="I235" s="129"/>
      <c r="J235" s="129"/>
      <c r="K235" s="129"/>
      <c r="L235" s="129"/>
      <c r="M235" s="123"/>
      <c r="N235" s="123"/>
      <c r="O235" s="123"/>
      <c r="P235" s="123"/>
      <c r="Q235" s="123"/>
      <c r="R235" s="123"/>
      <c r="S235" s="123"/>
      <c r="T235" s="123"/>
      <c r="U235" s="123"/>
      <c r="V235" s="123"/>
      <c r="W235" s="74"/>
      <c r="X235" s="73"/>
      <c r="Y235" s="73"/>
      <c r="Z235" s="73"/>
      <c r="AA235" s="73"/>
      <c r="AB235" s="73"/>
      <c r="AC235" s="73"/>
      <c r="AD235" s="73"/>
      <c r="AE235" s="73"/>
      <c r="AF235" s="73"/>
      <c r="AG235" s="75"/>
    </row>
    <row r="236" spans="1:33" ht="13.5" customHeight="1">
      <c r="A236" s="73"/>
      <c r="B236" s="123"/>
      <c r="C236" s="123"/>
      <c r="D236" s="123"/>
      <c r="E236" s="123"/>
      <c r="F236" s="123"/>
      <c r="G236" s="130"/>
      <c r="H236" s="123"/>
      <c r="I236" s="129"/>
      <c r="J236" s="129"/>
      <c r="K236" s="129"/>
      <c r="L236" s="129"/>
      <c r="M236" s="123"/>
      <c r="N236" s="123"/>
      <c r="O236" s="123"/>
      <c r="P236" s="123"/>
      <c r="Q236" s="123"/>
      <c r="R236" s="123"/>
      <c r="S236" s="123"/>
      <c r="T236" s="123"/>
      <c r="U236" s="123"/>
      <c r="V236" s="123"/>
      <c r="W236" s="74"/>
      <c r="X236" s="73"/>
      <c r="Y236" s="73"/>
      <c r="Z236" s="73"/>
      <c r="AA236" s="73"/>
      <c r="AB236" s="73"/>
      <c r="AC236" s="73"/>
      <c r="AD236" s="73"/>
      <c r="AE236" s="73"/>
      <c r="AF236" s="73"/>
      <c r="AG236" s="75"/>
    </row>
    <row r="237" spans="1:33" ht="13.5" customHeight="1">
      <c r="A237" s="73"/>
      <c r="B237" s="123"/>
      <c r="C237" s="123"/>
      <c r="D237" s="123"/>
      <c r="E237" s="123"/>
      <c r="F237" s="123"/>
      <c r="G237" s="130"/>
      <c r="H237" s="123"/>
      <c r="I237" s="129"/>
      <c r="J237" s="129"/>
      <c r="K237" s="129"/>
      <c r="L237" s="129"/>
      <c r="M237" s="123"/>
      <c r="N237" s="123"/>
      <c r="O237" s="123"/>
      <c r="P237" s="123"/>
      <c r="Q237" s="123"/>
      <c r="R237" s="123"/>
      <c r="S237" s="123"/>
      <c r="T237" s="123"/>
      <c r="U237" s="123"/>
      <c r="V237" s="123"/>
      <c r="W237" s="74"/>
      <c r="X237" s="73"/>
      <c r="Y237" s="73"/>
      <c r="Z237" s="73"/>
      <c r="AA237" s="73"/>
      <c r="AB237" s="73"/>
      <c r="AC237" s="73"/>
      <c r="AD237" s="73"/>
      <c r="AE237" s="73"/>
      <c r="AF237" s="73"/>
      <c r="AG237" s="75"/>
    </row>
    <row r="238" spans="1:33" ht="13.5" customHeight="1">
      <c r="A238" s="73"/>
      <c r="B238" s="123"/>
      <c r="C238" s="123"/>
      <c r="D238" s="123"/>
      <c r="E238" s="123"/>
      <c r="F238" s="123"/>
      <c r="G238" s="130"/>
      <c r="H238" s="123"/>
      <c r="I238" s="129"/>
      <c r="J238" s="129"/>
      <c r="K238" s="129"/>
      <c r="L238" s="129"/>
      <c r="M238" s="123"/>
      <c r="N238" s="123"/>
      <c r="O238" s="123"/>
      <c r="P238" s="123"/>
      <c r="Q238" s="123"/>
      <c r="R238" s="123"/>
      <c r="S238" s="123"/>
      <c r="T238" s="123"/>
      <c r="U238" s="123"/>
      <c r="V238" s="123"/>
      <c r="W238" s="74"/>
      <c r="X238" s="73"/>
      <c r="Y238" s="73"/>
      <c r="Z238" s="73"/>
      <c r="AA238" s="73"/>
      <c r="AB238" s="73"/>
      <c r="AC238" s="73"/>
      <c r="AD238" s="73"/>
      <c r="AE238" s="73"/>
      <c r="AF238" s="73"/>
      <c r="AG238" s="75"/>
    </row>
    <row r="239" spans="1:33" ht="13.5" customHeight="1">
      <c r="A239" s="73"/>
      <c r="B239" s="123"/>
      <c r="C239" s="123"/>
      <c r="D239" s="123"/>
      <c r="E239" s="123"/>
      <c r="F239" s="123"/>
      <c r="G239" s="130"/>
      <c r="H239" s="123"/>
      <c r="I239" s="129"/>
      <c r="J239" s="129"/>
      <c r="K239" s="129"/>
      <c r="L239" s="129"/>
      <c r="M239" s="123"/>
      <c r="N239" s="123"/>
      <c r="O239" s="123"/>
      <c r="P239" s="123"/>
      <c r="Q239" s="123"/>
      <c r="R239" s="123"/>
      <c r="S239" s="123"/>
      <c r="T239" s="123"/>
      <c r="U239" s="123"/>
      <c r="V239" s="123"/>
      <c r="W239" s="74"/>
      <c r="X239" s="73"/>
      <c r="Y239" s="73"/>
      <c r="Z239" s="73"/>
      <c r="AA239" s="73"/>
      <c r="AB239" s="73"/>
      <c r="AC239" s="73"/>
      <c r="AD239" s="73"/>
      <c r="AE239" s="73"/>
      <c r="AF239" s="73"/>
      <c r="AG239" s="75"/>
    </row>
    <row r="240" spans="1:33" ht="13.5" customHeight="1">
      <c r="A240" s="73"/>
      <c r="B240" s="123"/>
      <c r="C240" s="123"/>
      <c r="D240" s="123"/>
      <c r="E240" s="123"/>
      <c r="F240" s="123"/>
      <c r="G240" s="130"/>
      <c r="H240" s="123"/>
      <c r="I240" s="129"/>
      <c r="J240" s="129"/>
      <c r="K240" s="129"/>
      <c r="L240" s="129"/>
      <c r="M240" s="123"/>
      <c r="N240" s="123"/>
      <c r="O240" s="123"/>
      <c r="P240" s="123"/>
      <c r="Q240" s="123"/>
      <c r="R240" s="123"/>
      <c r="S240" s="123"/>
      <c r="T240" s="123"/>
      <c r="U240" s="123"/>
      <c r="V240" s="123"/>
      <c r="W240" s="74"/>
      <c r="X240" s="73"/>
      <c r="Y240" s="73"/>
      <c r="Z240" s="73"/>
      <c r="AA240" s="73"/>
      <c r="AB240" s="73"/>
      <c r="AC240" s="73"/>
      <c r="AD240" s="73"/>
      <c r="AE240" s="73"/>
      <c r="AF240" s="73"/>
      <c r="AG240" s="75"/>
    </row>
    <row r="241" spans="1:33" ht="13.5" customHeight="1">
      <c r="A241" s="73"/>
      <c r="B241" s="123"/>
      <c r="C241" s="123"/>
      <c r="D241" s="123"/>
      <c r="E241" s="123"/>
      <c r="F241" s="123"/>
      <c r="G241" s="130"/>
      <c r="H241" s="123"/>
      <c r="I241" s="129"/>
      <c r="J241" s="129"/>
      <c r="K241" s="129"/>
      <c r="L241" s="129"/>
      <c r="M241" s="123"/>
      <c r="N241" s="123"/>
      <c r="O241" s="123"/>
      <c r="P241" s="123"/>
      <c r="Q241" s="123"/>
      <c r="R241" s="123"/>
      <c r="S241" s="123"/>
      <c r="T241" s="123"/>
      <c r="U241" s="123"/>
      <c r="V241" s="123"/>
      <c r="W241" s="74"/>
      <c r="X241" s="73"/>
      <c r="Y241" s="73"/>
      <c r="Z241" s="73"/>
      <c r="AA241" s="73"/>
      <c r="AB241" s="73"/>
      <c r="AC241" s="73"/>
      <c r="AD241" s="73"/>
      <c r="AE241" s="73"/>
      <c r="AF241" s="73"/>
      <c r="AG241" s="75"/>
    </row>
    <row r="242" spans="1:33" ht="13.5" customHeight="1">
      <c r="A242" s="73"/>
      <c r="B242" s="123"/>
      <c r="C242" s="123"/>
      <c r="D242" s="123"/>
      <c r="E242" s="123"/>
      <c r="F242" s="123"/>
      <c r="G242" s="130"/>
      <c r="H242" s="123"/>
      <c r="I242" s="129"/>
      <c r="J242" s="129"/>
      <c r="K242" s="129"/>
      <c r="L242" s="129"/>
      <c r="M242" s="123"/>
      <c r="N242" s="123"/>
      <c r="O242" s="123"/>
      <c r="P242" s="123"/>
      <c r="Q242" s="123"/>
      <c r="R242" s="123"/>
      <c r="S242" s="123"/>
      <c r="T242" s="123"/>
      <c r="U242" s="123"/>
      <c r="V242" s="123"/>
      <c r="W242" s="74"/>
      <c r="X242" s="73"/>
      <c r="Y242" s="73"/>
      <c r="Z242" s="73"/>
      <c r="AA242" s="73"/>
      <c r="AB242" s="73"/>
      <c r="AC242" s="73"/>
      <c r="AD242" s="73"/>
      <c r="AE242" s="73"/>
      <c r="AF242" s="73"/>
      <c r="AG242" s="75"/>
    </row>
    <row r="243" spans="1:33" ht="13.5" customHeight="1">
      <c r="A243" s="73"/>
      <c r="B243" s="123"/>
      <c r="C243" s="123"/>
      <c r="D243" s="123"/>
      <c r="E243" s="123"/>
      <c r="F243" s="123"/>
      <c r="G243" s="130"/>
      <c r="H243" s="123"/>
      <c r="I243" s="129"/>
      <c r="J243" s="129"/>
      <c r="K243" s="129"/>
      <c r="L243" s="129"/>
      <c r="M243" s="123"/>
      <c r="N243" s="123"/>
      <c r="O243" s="123"/>
      <c r="P243" s="123"/>
      <c r="Q243" s="123"/>
      <c r="R243" s="123"/>
      <c r="S243" s="123"/>
      <c r="T243" s="123"/>
      <c r="U243" s="123"/>
      <c r="V243" s="123"/>
      <c r="W243" s="74"/>
      <c r="X243" s="73"/>
      <c r="Y243" s="73"/>
      <c r="Z243" s="73"/>
      <c r="AA243" s="73"/>
      <c r="AB243" s="73"/>
      <c r="AC243" s="73"/>
      <c r="AD243" s="73"/>
      <c r="AE243" s="73"/>
      <c r="AF243" s="73"/>
      <c r="AG243" s="75"/>
    </row>
    <row r="244" spans="1:33" ht="13.5" customHeight="1">
      <c r="A244" s="73"/>
      <c r="B244" s="123"/>
      <c r="C244" s="123"/>
      <c r="D244" s="123"/>
      <c r="E244" s="123"/>
      <c r="F244" s="123"/>
      <c r="G244" s="130"/>
      <c r="H244" s="123"/>
      <c r="I244" s="129"/>
      <c r="J244" s="129"/>
      <c r="K244" s="129"/>
      <c r="L244" s="129"/>
      <c r="M244" s="123"/>
      <c r="N244" s="123"/>
      <c r="O244" s="123"/>
      <c r="P244" s="123"/>
      <c r="Q244" s="123"/>
      <c r="R244" s="123"/>
      <c r="S244" s="123"/>
      <c r="T244" s="123"/>
      <c r="U244" s="123"/>
      <c r="V244" s="123"/>
      <c r="W244" s="74"/>
      <c r="X244" s="73"/>
      <c r="Y244" s="73"/>
      <c r="Z244" s="73"/>
      <c r="AA244" s="73"/>
      <c r="AB244" s="73"/>
      <c r="AC244" s="73"/>
      <c r="AD244" s="73"/>
      <c r="AE244" s="73"/>
      <c r="AF244" s="73"/>
      <c r="AG244" s="75"/>
    </row>
    <row r="245" spans="1:33" ht="13.5" customHeight="1">
      <c r="A245" s="73"/>
      <c r="B245" s="123"/>
      <c r="C245" s="123"/>
      <c r="D245" s="123"/>
      <c r="E245" s="123"/>
      <c r="F245" s="123"/>
      <c r="G245" s="130"/>
      <c r="H245" s="123"/>
      <c r="I245" s="129"/>
      <c r="J245" s="129"/>
      <c r="K245" s="129"/>
      <c r="L245" s="129"/>
      <c r="M245" s="123"/>
      <c r="N245" s="123"/>
      <c r="O245" s="123"/>
      <c r="P245" s="123"/>
      <c r="Q245" s="123"/>
      <c r="R245" s="123"/>
      <c r="S245" s="123"/>
      <c r="T245" s="123"/>
      <c r="U245" s="123"/>
      <c r="V245" s="123"/>
      <c r="W245" s="74"/>
      <c r="X245" s="73"/>
      <c r="Y245" s="73"/>
      <c r="Z245" s="73"/>
      <c r="AA245" s="73"/>
      <c r="AB245" s="73"/>
      <c r="AC245" s="73"/>
      <c r="AD245" s="73"/>
      <c r="AE245" s="73"/>
      <c r="AF245" s="73"/>
      <c r="AG245" s="75"/>
    </row>
    <row r="246" spans="1:33" ht="13.5" customHeight="1">
      <c r="A246" s="73"/>
      <c r="B246" s="123"/>
      <c r="C246" s="123"/>
      <c r="D246" s="123"/>
      <c r="E246" s="123"/>
      <c r="F246" s="123"/>
      <c r="G246" s="130"/>
      <c r="H246" s="123"/>
      <c r="I246" s="129"/>
      <c r="J246" s="129"/>
      <c r="K246" s="129"/>
      <c r="L246" s="129"/>
      <c r="M246" s="123"/>
      <c r="N246" s="123"/>
      <c r="O246" s="123"/>
      <c r="P246" s="123"/>
      <c r="Q246" s="123"/>
      <c r="R246" s="123"/>
      <c r="S246" s="123"/>
      <c r="T246" s="123"/>
      <c r="U246" s="123"/>
      <c r="V246" s="123"/>
      <c r="W246" s="74"/>
      <c r="X246" s="73"/>
      <c r="Y246" s="73"/>
      <c r="Z246" s="73"/>
      <c r="AA246" s="73"/>
      <c r="AB246" s="73"/>
      <c r="AC246" s="73"/>
      <c r="AD246" s="73"/>
      <c r="AE246" s="73"/>
      <c r="AF246" s="73"/>
      <c r="AG246" s="75"/>
    </row>
    <row r="247" spans="1:33" ht="13.5" customHeight="1">
      <c r="A247" s="73"/>
      <c r="B247" s="123"/>
      <c r="C247" s="123"/>
      <c r="D247" s="123"/>
      <c r="E247" s="123"/>
      <c r="F247" s="123"/>
      <c r="G247" s="130"/>
      <c r="H247" s="123"/>
      <c r="I247" s="129"/>
      <c r="J247" s="129"/>
      <c r="K247" s="129"/>
      <c r="L247" s="129"/>
      <c r="M247" s="123"/>
      <c r="N247" s="123"/>
      <c r="O247" s="123"/>
      <c r="P247" s="123"/>
      <c r="Q247" s="123"/>
      <c r="R247" s="123"/>
      <c r="S247" s="123"/>
      <c r="T247" s="123"/>
      <c r="U247" s="123"/>
      <c r="V247" s="123"/>
      <c r="W247" s="74"/>
      <c r="X247" s="73"/>
      <c r="Y247" s="73"/>
      <c r="Z247" s="73"/>
      <c r="AA247" s="73"/>
      <c r="AB247" s="73"/>
      <c r="AC247" s="73"/>
      <c r="AD247" s="73"/>
      <c r="AE247" s="73"/>
      <c r="AF247" s="73"/>
      <c r="AG247" s="75"/>
    </row>
    <row r="248" spans="1:33" ht="13.5" customHeight="1">
      <c r="A248" s="73"/>
      <c r="B248" s="123"/>
      <c r="C248" s="123"/>
      <c r="D248" s="123"/>
      <c r="E248" s="123"/>
      <c r="F248" s="123"/>
      <c r="G248" s="130"/>
      <c r="H248" s="123"/>
      <c r="I248" s="129"/>
      <c r="J248" s="129"/>
      <c r="K248" s="129"/>
      <c r="L248" s="129"/>
      <c r="M248" s="123"/>
      <c r="N248" s="123"/>
      <c r="O248" s="123"/>
      <c r="P248" s="123"/>
      <c r="Q248" s="123"/>
      <c r="R248" s="123"/>
      <c r="S248" s="123"/>
      <c r="T248" s="123"/>
      <c r="U248" s="123"/>
      <c r="V248" s="123"/>
      <c r="W248" s="74"/>
      <c r="X248" s="73"/>
      <c r="Y248" s="73"/>
      <c r="Z248" s="73"/>
      <c r="AA248" s="73"/>
      <c r="AB248" s="73"/>
      <c r="AC248" s="73"/>
      <c r="AD248" s="73"/>
      <c r="AE248" s="73"/>
      <c r="AF248" s="73"/>
      <c r="AG248" s="75"/>
    </row>
    <row r="249" spans="1:33" ht="13.5" customHeight="1">
      <c r="A249" s="73"/>
      <c r="B249" s="123"/>
      <c r="C249" s="123"/>
      <c r="D249" s="123"/>
      <c r="E249" s="123"/>
      <c r="F249" s="123"/>
      <c r="G249" s="130"/>
      <c r="H249" s="123"/>
      <c r="I249" s="129"/>
      <c r="J249" s="129"/>
      <c r="K249" s="129"/>
      <c r="L249" s="129"/>
      <c r="M249" s="123"/>
      <c r="N249" s="123"/>
      <c r="O249" s="123"/>
      <c r="P249" s="123"/>
      <c r="Q249" s="123"/>
      <c r="R249" s="123"/>
      <c r="S249" s="123"/>
      <c r="T249" s="123"/>
      <c r="U249" s="123"/>
      <c r="V249" s="123"/>
      <c r="W249" s="74"/>
      <c r="X249" s="73"/>
      <c r="Y249" s="73"/>
      <c r="Z249" s="73"/>
      <c r="AA249" s="73"/>
      <c r="AB249" s="73"/>
      <c r="AC249" s="73"/>
      <c r="AD249" s="73"/>
      <c r="AE249" s="73"/>
      <c r="AF249" s="73"/>
      <c r="AG249" s="75"/>
    </row>
    <row r="250" spans="1:33" ht="13.5" customHeight="1">
      <c r="A250" s="73"/>
      <c r="B250" s="123"/>
      <c r="C250" s="123"/>
      <c r="D250" s="123"/>
      <c r="E250" s="123"/>
      <c r="F250" s="123"/>
      <c r="G250" s="130"/>
      <c r="H250" s="123"/>
      <c r="I250" s="129"/>
      <c r="J250" s="129"/>
      <c r="K250" s="129"/>
      <c r="L250" s="129"/>
      <c r="M250" s="123"/>
      <c r="N250" s="123"/>
      <c r="O250" s="123"/>
      <c r="P250" s="123"/>
      <c r="Q250" s="123"/>
      <c r="R250" s="123"/>
      <c r="S250" s="123"/>
      <c r="T250" s="123"/>
      <c r="U250" s="123"/>
      <c r="V250" s="123"/>
      <c r="W250" s="74"/>
      <c r="X250" s="73"/>
      <c r="Y250" s="73"/>
      <c r="Z250" s="73"/>
      <c r="AA250" s="73"/>
      <c r="AB250" s="73"/>
      <c r="AC250" s="73"/>
      <c r="AD250" s="73"/>
      <c r="AE250" s="73"/>
      <c r="AF250" s="73"/>
      <c r="AG250" s="75"/>
    </row>
    <row r="251" spans="1:33" ht="13.5" customHeight="1">
      <c r="A251" s="73"/>
      <c r="B251" s="123"/>
      <c r="C251" s="123"/>
      <c r="D251" s="123"/>
      <c r="E251" s="123"/>
      <c r="F251" s="123"/>
      <c r="G251" s="130"/>
      <c r="H251" s="123"/>
      <c r="I251" s="129"/>
      <c r="J251" s="129"/>
      <c r="K251" s="129"/>
      <c r="L251" s="129"/>
      <c r="M251" s="123"/>
      <c r="N251" s="123"/>
      <c r="O251" s="123"/>
      <c r="P251" s="123"/>
      <c r="Q251" s="123"/>
      <c r="R251" s="123"/>
      <c r="S251" s="123"/>
      <c r="T251" s="123"/>
      <c r="U251" s="123"/>
      <c r="V251" s="123"/>
      <c r="W251" s="74"/>
      <c r="X251" s="73"/>
      <c r="Y251" s="73"/>
      <c r="Z251" s="73"/>
      <c r="AA251" s="73"/>
      <c r="AB251" s="73"/>
      <c r="AC251" s="73"/>
      <c r="AD251" s="73"/>
      <c r="AE251" s="73"/>
      <c r="AF251" s="73"/>
      <c r="AG251" s="75"/>
    </row>
    <row r="252" spans="1:33" ht="13.5" customHeight="1">
      <c r="A252" s="73"/>
      <c r="B252" s="123"/>
      <c r="C252" s="123"/>
      <c r="D252" s="123"/>
      <c r="E252" s="123"/>
      <c r="F252" s="123"/>
      <c r="G252" s="130"/>
      <c r="H252" s="123"/>
      <c r="I252" s="129"/>
      <c r="J252" s="129"/>
      <c r="K252" s="129"/>
      <c r="L252" s="129"/>
      <c r="M252" s="123"/>
      <c r="N252" s="123"/>
      <c r="O252" s="123"/>
      <c r="P252" s="123"/>
      <c r="Q252" s="123"/>
      <c r="R252" s="123"/>
      <c r="S252" s="123"/>
      <c r="T252" s="123"/>
      <c r="U252" s="123"/>
      <c r="V252" s="123"/>
      <c r="W252" s="74"/>
      <c r="X252" s="73"/>
      <c r="Y252" s="73"/>
      <c r="Z252" s="73"/>
      <c r="AA252" s="73"/>
      <c r="AB252" s="73"/>
      <c r="AC252" s="73"/>
      <c r="AD252" s="73"/>
      <c r="AE252" s="73"/>
      <c r="AF252" s="73"/>
      <c r="AG252" s="75"/>
    </row>
    <row r="253" spans="1:33" ht="13.5" customHeight="1">
      <c r="A253" s="73"/>
      <c r="B253" s="123"/>
      <c r="C253" s="123"/>
      <c r="D253" s="123"/>
      <c r="E253" s="123"/>
      <c r="F253" s="123"/>
      <c r="G253" s="130"/>
      <c r="H253" s="123"/>
      <c r="I253" s="129"/>
      <c r="J253" s="129"/>
      <c r="K253" s="129"/>
      <c r="L253" s="129"/>
      <c r="M253" s="123"/>
      <c r="N253" s="123"/>
      <c r="O253" s="123"/>
      <c r="P253" s="123"/>
      <c r="Q253" s="123"/>
      <c r="R253" s="123"/>
      <c r="S253" s="123"/>
      <c r="T253" s="123"/>
      <c r="U253" s="123"/>
      <c r="V253" s="123"/>
      <c r="W253" s="74"/>
      <c r="X253" s="73"/>
      <c r="Y253" s="73"/>
      <c r="Z253" s="73"/>
      <c r="AA253" s="73"/>
      <c r="AB253" s="73"/>
      <c r="AC253" s="73"/>
      <c r="AD253" s="73"/>
      <c r="AE253" s="73"/>
      <c r="AF253" s="73"/>
      <c r="AG253" s="75"/>
    </row>
    <row r="254" spans="1:33" ht="13.5" customHeight="1">
      <c r="A254" s="73"/>
      <c r="B254" s="123"/>
      <c r="C254" s="123"/>
      <c r="D254" s="123"/>
      <c r="E254" s="123"/>
      <c r="F254" s="123"/>
      <c r="G254" s="130"/>
      <c r="H254" s="123"/>
      <c r="I254" s="129"/>
      <c r="J254" s="129"/>
      <c r="K254" s="129"/>
      <c r="L254" s="129"/>
      <c r="M254" s="123"/>
      <c r="N254" s="123"/>
      <c r="O254" s="123"/>
      <c r="P254" s="123"/>
      <c r="Q254" s="123"/>
      <c r="R254" s="123"/>
      <c r="S254" s="123"/>
      <c r="T254" s="123"/>
      <c r="U254" s="123"/>
      <c r="V254" s="123"/>
      <c r="W254" s="74"/>
      <c r="X254" s="73"/>
      <c r="Y254" s="73"/>
      <c r="Z254" s="73"/>
      <c r="AA254" s="73"/>
      <c r="AB254" s="73"/>
      <c r="AC254" s="73"/>
      <c r="AD254" s="73"/>
      <c r="AE254" s="73"/>
      <c r="AF254" s="73"/>
      <c r="AG254" s="75"/>
    </row>
    <row r="255" spans="1:33" ht="13.5" customHeight="1">
      <c r="A255" s="73"/>
      <c r="B255" s="123"/>
      <c r="C255" s="123"/>
      <c r="D255" s="123"/>
      <c r="E255" s="123"/>
      <c r="F255" s="123"/>
      <c r="G255" s="130"/>
      <c r="H255" s="123"/>
      <c r="I255" s="129"/>
      <c r="J255" s="129"/>
      <c r="K255" s="129"/>
      <c r="L255" s="129"/>
      <c r="M255" s="123"/>
      <c r="N255" s="123"/>
      <c r="O255" s="123"/>
      <c r="P255" s="123"/>
      <c r="Q255" s="123"/>
      <c r="R255" s="123"/>
      <c r="S255" s="123"/>
      <c r="T255" s="123"/>
      <c r="U255" s="123"/>
      <c r="V255" s="123"/>
      <c r="W255" s="74"/>
      <c r="X255" s="73"/>
      <c r="Y255" s="73"/>
      <c r="Z255" s="73"/>
      <c r="AA255" s="73"/>
      <c r="AB255" s="73"/>
      <c r="AC255" s="73"/>
      <c r="AD255" s="73"/>
      <c r="AE255" s="73"/>
      <c r="AF255" s="73"/>
      <c r="AG255" s="75"/>
    </row>
    <row r="256" spans="1:33" ht="13.5" customHeight="1">
      <c r="A256" s="73"/>
      <c r="B256" s="123"/>
      <c r="C256" s="123"/>
      <c r="D256" s="123"/>
      <c r="E256" s="123"/>
      <c r="F256" s="123"/>
      <c r="G256" s="130"/>
      <c r="H256" s="123"/>
      <c r="I256" s="129"/>
      <c r="J256" s="129"/>
      <c r="K256" s="129"/>
      <c r="L256" s="129"/>
      <c r="M256" s="123"/>
      <c r="N256" s="123"/>
      <c r="O256" s="123"/>
      <c r="P256" s="123"/>
      <c r="Q256" s="123"/>
      <c r="R256" s="123"/>
      <c r="S256" s="123"/>
      <c r="T256" s="123"/>
      <c r="U256" s="123"/>
      <c r="V256" s="123"/>
      <c r="W256" s="74"/>
      <c r="X256" s="73"/>
      <c r="Y256" s="73"/>
      <c r="Z256" s="73"/>
      <c r="AA256" s="73"/>
      <c r="AB256" s="73"/>
      <c r="AC256" s="73"/>
      <c r="AD256" s="73"/>
      <c r="AE256" s="73"/>
      <c r="AF256" s="73"/>
      <c r="AG256" s="75"/>
    </row>
    <row r="257" spans="1:33" ht="13.5" customHeight="1">
      <c r="A257" s="73"/>
      <c r="B257" s="123"/>
      <c r="C257" s="123"/>
      <c r="D257" s="123"/>
      <c r="E257" s="123"/>
      <c r="F257" s="123"/>
      <c r="G257" s="130"/>
      <c r="H257" s="123"/>
      <c r="I257" s="129"/>
      <c r="J257" s="129"/>
      <c r="K257" s="129"/>
      <c r="L257" s="129"/>
      <c r="M257" s="123"/>
      <c r="N257" s="123"/>
      <c r="O257" s="123"/>
      <c r="P257" s="123"/>
      <c r="Q257" s="123"/>
      <c r="R257" s="123"/>
      <c r="S257" s="123"/>
      <c r="T257" s="123"/>
      <c r="U257" s="123"/>
      <c r="V257" s="123"/>
      <c r="W257" s="74"/>
      <c r="X257" s="73"/>
      <c r="Y257" s="73"/>
      <c r="Z257" s="73"/>
      <c r="AA257" s="73"/>
      <c r="AB257" s="73"/>
      <c r="AC257" s="73"/>
      <c r="AD257" s="73"/>
      <c r="AE257" s="73"/>
      <c r="AF257" s="73"/>
      <c r="AG257" s="75"/>
    </row>
    <row r="258" spans="1:33" ht="13.5" customHeight="1">
      <c r="A258" s="73"/>
      <c r="B258" s="123"/>
      <c r="C258" s="123"/>
      <c r="D258" s="123"/>
      <c r="E258" s="123"/>
      <c r="F258" s="123"/>
      <c r="G258" s="130"/>
      <c r="H258" s="123"/>
      <c r="I258" s="129"/>
      <c r="J258" s="129"/>
      <c r="K258" s="129"/>
      <c r="L258" s="129"/>
      <c r="M258" s="123"/>
      <c r="N258" s="123"/>
      <c r="O258" s="123"/>
      <c r="P258" s="123"/>
      <c r="Q258" s="123"/>
      <c r="R258" s="123"/>
      <c r="S258" s="123"/>
      <c r="T258" s="123"/>
      <c r="U258" s="123"/>
      <c r="V258" s="123"/>
      <c r="W258" s="74"/>
      <c r="X258" s="73"/>
      <c r="Y258" s="73"/>
      <c r="Z258" s="73"/>
      <c r="AA258" s="73"/>
      <c r="AB258" s="73"/>
      <c r="AC258" s="73"/>
      <c r="AD258" s="73"/>
      <c r="AE258" s="73"/>
      <c r="AF258" s="73"/>
      <c r="AG258" s="75"/>
    </row>
    <row r="259" spans="1:33" ht="13.5" customHeight="1">
      <c r="A259" s="73"/>
      <c r="B259" s="123"/>
      <c r="C259" s="123"/>
      <c r="D259" s="123"/>
      <c r="E259" s="123"/>
      <c r="F259" s="123"/>
      <c r="G259" s="130"/>
      <c r="H259" s="123"/>
      <c r="I259" s="129"/>
      <c r="J259" s="129"/>
      <c r="K259" s="129"/>
      <c r="L259" s="129"/>
      <c r="M259" s="123"/>
      <c r="N259" s="123"/>
      <c r="O259" s="123"/>
      <c r="P259" s="123"/>
      <c r="Q259" s="123"/>
      <c r="R259" s="123"/>
      <c r="S259" s="123"/>
      <c r="T259" s="123"/>
      <c r="U259" s="123"/>
      <c r="V259" s="123"/>
      <c r="W259" s="74"/>
      <c r="X259" s="73"/>
      <c r="Y259" s="73"/>
      <c r="Z259" s="73"/>
      <c r="AA259" s="73"/>
      <c r="AB259" s="73"/>
      <c r="AC259" s="73"/>
      <c r="AD259" s="73"/>
      <c r="AE259" s="73"/>
      <c r="AF259" s="73"/>
      <c r="AG259" s="75"/>
    </row>
    <row r="260" spans="1:33" ht="13.5" customHeight="1">
      <c r="A260" s="73"/>
      <c r="B260" s="123"/>
      <c r="C260" s="123"/>
      <c r="D260" s="123"/>
      <c r="E260" s="123"/>
      <c r="F260" s="123"/>
      <c r="G260" s="130"/>
      <c r="H260" s="123"/>
      <c r="I260" s="129"/>
      <c r="J260" s="129"/>
      <c r="K260" s="129"/>
      <c r="L260" s="129"/>
      <c r="M260" s="123"/>
      <c r="N260" s="123"/>
      <c r="O260" s="123"/>
      <c r="P260" s="123"/>
      <c r="Q260" s="123"/>
      <c r="R260" s="123"/>
      <c r="S260" s="123"/>
      <c r="T260" s="123"/>
      <c r="U260" s="123"/>
      <c r="V260" s="123"/>
      <c r="W260" s="74"/>
      <c r="X260" s="73"/>
      <c r="Y260" s="73"/>
      <c r="Z260" s="73"/>
      <c r="AA260" s="73"/>
      <c r="AB260" s="73"/>
      <c r="AC260" s="73"/>
      <c r="AD260" s="73"/>
      <c r="AE260" s="73"/>
      <c r="AF260" s="73"/>
      <c r="AG260" s="75"/>
    </row>
    <row r="261" spans="1:33" ht="13.5" customHeight="1">
      <c r="A261" s="73"/>
      <c r="B261" s="123"/>
      <c r="C261" s="123"/>
      <c r="D261" s="123"/>
      <c r="E261" s="123"/>
      <c r="F261" s="123"/>
      <c r="G261" s="130"/>
      <c r="H261" s="123"/>
      <c r="I261" s="129"/>
      <c r="J261" s="129"/>
      <c r="K261" s="129"/>
      <c r="L261" s="129"/>
      <c r="M261" s="123"/>
      <c r="N261" s="123"/>
      <c r="O261" s="123"/>
      <c r="P261" s="123"/>
      <c r="Q261" s="123"/>
      <c r="R261" s="123"/>
      <c r="S261" s="123"/>
      <c r="T261" s="123"/>
      <c r="U261" s="123"/>
      <c r="V261" s="123"/>
      <c r="W261" s="74"/>
      <c r="X261" s="73"/>
      <c r="Y261" s="73"/>
      <c r="Z261" s="73"/>
      <c r="AA261" s="73"/>
      <c r="AB261" s="73"/>
      <c r="AC261" s="73"/>
      <c r="AD261" s="73"/>
      <c r="AE261" s="73"/>
      <c r="AF261" s="73"/>
      <c r="AG261" s="75"/>
    </row>
    <row r="262" spans="1:33" ht="13.5" customHeight="1">
      <c r="A262" s="73"/>
      <c r="B262" s="123"/>
      <c r="C262" s="123"/>
      <c r="D262" s="123"/>
      <c r="E262" s="123"/>
      <c r="F262" s="123"/>
      <c r="G262" s="130"/>
      <c r="H262" s="123"/>
      <c r="I262" s="129"/>
      <c r="J262" s="129"/>
      <c r="K262" s="129"/>
      <c r="L262" s="129"/>
      <c r="M262" s="123"/>
      <c r="N262" s="123"/>
      <c r="O262" s="123"/>
      <c r="P262" s="123"/>
      <c r="Q262" s="123"/>
      <c r="R262" s="123"/>
      <c r="S262" s="123"/>
      <c r="T262" s="123"/>
      <c r="U262" s="123"/>
      <c r="V262" s="123"/>
      <c r="W262" s="74"/>
      <c r="X262" s="73"/>
      <c r="Y262" s="73"/>
      <c r="Z262" s="73"/>
      <c r="AA262" s="73"/>
      <c r="AB262" s="73"/>
      <c r="AC262" s="73"/>
      <c r="AD262" s="73"/>
      <c r="AE262" s="73"/>
      <c r="AF262" s="73"/>
      <c r="AG262" s="75"/>
    </row>
    <row r="263" spans="1:33" ht="13.5" customHeight="1">
      <c r="A263" s="73"/>
      <c r="B263" s="123"/>
      <c r="C263" s="123"/>
      <c r="D263" s="123"/>
      <c r="E263" s="123"/>
      <c r="F263" s="123"/>
      <c r="G263" s="130"/>
      <c r="H263" s="123"/>
      <c r="I263" s="129"/>
      <c r="J263" s="129"/>
      <c r="K263" s="129"/>
      <c r="L263" s="129"/>
      <c r="M263" s="123"/>
      <c r="N263" s="123"/>
      <c r="O263" s="123"/>
      <c r="P263" s="123"/>
      <c r="Q263" s="123"/>
      <c r="R263" s="123"/>
      <c r="S263" s="123"/>
      <c r="T263" s="123"/>
      <c r="U263" s="123"/>
      <c r="V263" s="123"/>
      <c r="W263" s="74"/>
      <c r="X263" s="73"/>
      <c r="Y263" s="73"/>
      <c r="Z263" s="73"/>
      <c r="AA263" s="73"/>
      <c r="AB263" s="73"/>
      <c r="AC263" s="73"/>
      <c r="AD263" s="73"/>
      <c r="AE263" s="73"/>
      <c r="AF263" s="73"/>
      <c r="AG263" s="75"/>
    </row>
    <row r="264" spans="1:33" ht="13.5" customHeight="1">
      <c r="A264" s="73"/>
      <c r="B264" s="123"/>
      <c r="C264" s="123"/>
      <c r="D264" s="123"/>
      <c r="E264" s="123"/>
      <c r="F264" s="123"/>
      <c r="G264" s="130"/>
      <c r="H264" s="123"/>
      <c r="I264" s="129"/>
      <c r="J264" s="129"/>
      <c r="K264" s="129"/>
      <c r="L264" s="129"/>
      <c r="M264" s="123"/>
      <c r="N264" s="123"/>
      <c r="O264" s="123"/>
      <c r="P264" s="123"/>
      <c r="Q264" s="123"/>
      <c r="R264" s="123"/>
      <c r="S264" s="123"/>
      <c r="T264" s="123"/>
      <c r="U264" s="123"/>
      <c r="V264" s="123"/>
      <c r="W264" s="74"/>
      <c r="X264" s="73"/>
      <c r="Y264" s="73"/>
      <c r="Z264" s="73"/>
      <c r="AA264" s="73"/>
      <c r="AB264" s="73"/>
      <c r="AC264" s="73"/>
      <c r="AD264" s="73"/>
      <c r="AE264" s="73"/>
      <c r="AF264" s="73"/>
      <c r="AG264" s="75"/>
    </row>
    <row r="265" spans="1:33" ht="13.5" customHeight="1">
      <c r="A265" s="73"/>
      <c r="B265" s="123"/>
      <c r="C265" s="123"/>
      <c r="D265" s="123"/>
      <c r="E265" s="123"/>
      <c r="F265" s="123"/>
      <c r="G265" s="130"/>
      <c r="H265" s="123"/>
      <c r="I265" s="129"/>
      <c r="J265" s="129"/>
      <c r="K265" s="129"/>
      <c r="L265" s="129"/>
      <c r="M265" s="123"/>
      <c r="N265" s="123"/>
      <c r="O265" s="123"/>
      <c r="P265" s="123"/>
      <c r="Q265" s="123"/>
      <c r="R265" s="123"/>
      <c r="S265" s="123"/>
      <c r="T265" s="123"/>
      <c r="U265" s="123"/>
      <c r="V265" s="123"/>
      <c r="W265" s="74"/>
      <c r="X265" s="73"/>
      <c r="Y265" s="73"/>
      <c r="Z265" s="73"/>
      <c r="AA265" s="73"/>
      <c r="AB265" s="73"/>
      <c r="AC265" s="73"/>
      <c r="AD265" s="73"/>
      <c r="AE265" s="73"/>
      <c r="AF265" s="73"/>
      <c r="AG265" s="75"/>
    </row>
    <row r="266" spans="1:33" ht="13.5" customHeight="1">
      <c r="A266" s="73"/>
      <c r="B266" s="123"/>
      <c r="C266" s="123"/>
      <c r="D266" s="123"/>
      <c r="E266" s="123"/>
      <c r="F266" s="123"/>
      <c r="G266" s="130"/>
      <c r="H266" s="123"/>
      <c r="I266" s="129"/>
      <c r="J266" s="129"/>
      <c r="K266" s="129"/>
      <c r="L266" s="129"/>
      <c r="M266" s="123"/>
      <c r="N266" s="123"/>
      <c r="O266" s="123"/>
      <c r="P266" s="123"/>
      <c r="Q266" s="123"/>
      <c r="R266" s="123"/>
      <c r="S266" s="123"/>
      <c r="T266" s="123"/>
      <c r="U266" s="123"/>
      <c r="V266" s="123"/>
      <c r="W266" s="74"/>
      <c r="X266" s="73"/>
      <c r="Y266" s="73"/>
      <c r="Z266" s="73"/>
      <c r="AA266" s="73"/>
      <c r="AB266" s="73"/>
      <c r="AC266" s="73"/>
      <c r="AD266" s="73"/>
      <c r="AE266" s="73"/>
      <c r="AF266" s="73"/>
      <c r="AG266" s="75"/>
    </row>
    <row r="267" spans="1:33" ht="13.5" customHeight="1">
      <c r="A267" s="73"/>
      <c r="B267" s="123"/>
      <c r="C267" s="123"/>
      <c r="D267" s="123"/>
      <c r="E267" s="123"/>
      <c r="F267" s="123"/>
      <c r="G267" s="130"/>
      <c r="H267" s="123"/>
      <c r="I267" s="129"/>
      <c r="J267" s="129"/>
      <c r="K267" s="129"/>
      <c r="L267" s="129"/>
      <c r="M267" s="123"/>
      <c r="N267" s="123"/>
      <c r="O267" s="123"/>
      <c r="P267" s="123"/>
      <c r="Q267" s="123"/>
      <c r="R267" s="123"/>
      <c r="S267" s="123"/>
      <c r="T267" s="123"/>
      <c r="U267" s="123"/>
      <c r="V267" s="123"/>
      <c r="W267" s="74"/>
      <c r="X267" s="73"/>
      <c r="Y267" s="73"/>
      <c r="Z267" s="73"/>
      <c r="AA267" s="73"/>
      <c r="AB267" s="73"/>
      <c r="AC267" s="73"/>
      <c r="AD267" s="73"/>
      <c r="AE267" s="73"/>
      <c r="AF267" s="73"/>
      <c r="AG267" s="75"/>
    </row>
    <row r="268" spans="1:33" ht="13.5" customHeight="1">
      <c r="A268" s="73"/>
      <c r="B268" s="123"/>
      <c r="C268" s="123"/>
      <c r="D268" s="123"/>
      <c r="E268" s="123"/>
      <c r="F268" s="123"/>
      <c r="G268" s="130"/>
      <c r="H268" s="123"/>
      <c r="I268" s="129"/>
      <c r="J268" s="129"/>
      <c r="K268" s="129"/>
      <c r="L268" s="129"/>
      <c r="M268" s="123"/>
      <c r="N268" s="123"/>
      <c r="O268" s="123"/>
      <c r="P268" s="123"/>
      <c r="Q268" s="123"/>
      <c r="R268" s="123"/>
      <c r="S268" s="123"/>
      <c r="T268" s="123"/>
      <c r="U268" s="123"/>
      <c r="V268" s="123"/>
      <c r="W268" s="74"/>
      <c r="X268" s="73"/>
      <c r="Y268" s="73"/>
      <c r="Z268" s="73"/>
      <c r="AA268" s="73"/>
      <c r="AB268" s="73"/>
      <c r="AC268" s="73"/>
      <c r="AD268" s="73"/>
      <c r="AE268" s="73"/>
      <c r="AF268" s="73"/>
      <c r="AG268" s="75"/>
    </row>
    <row r="269" spans="1:33" ht="13.5" customHeight="1">
      <c r="A269" s="73"/>
      <c r="B269" s="123"/>
      <c r="C269" s="123"/>
      <c r="D269" s="123"/>
      <c r="E269" s="123"/>
      <c r="F269" s="123"/>
      <c r="G269" s="130"/>
      <c r="H269" s="123"/>
      <c r="I269" s="129"/>
      <c r="J269" s="129"/>
      <c r="K269" s="129"/>
      <c r="L269" s="129"/>
      <c r="M269" s="123"/>
      <c r="N269" s="123"/>
      <c r="O269" s="123"/>
      <c r="P269" s="123"/>
      <c r="Q269" s="123"/>
      <c r="R269" s="123"/>
      <c r="S269" s="123"/>
      <c r="T269" s="123"/>
      <c r="U269" s="123"/>
      <c r="V269" s="123"/>
      <c r="W269" s="74"/>
      <c r="X269" s="73"/>
      <c r="Y269" s="73"/>
      <c r="Z269" s="73"/>
      <c r="AA269" s="73"/>
      <c r="AB269" s="73"/>
      <c r="AC269" s="73"/>
      <c r="AD269" s="73"/>
      <c r="AE269" s="73"/>
      <c r="AF269" s="73"/>
      <c r="AG269" s="75"/>
    </row>
    <row r="270" spans="1:33" ht="13.5" customHeight="1">
      <c r="A270" s="73"/>
      <c r="B270" s="123"/>
      <c r="C270" s="123"/>
      <c r="D270" s="123"/>
      <c r="E270" s="123"/>
      <c r="F270" s="123"/>
      <c r="G270" s="130"/>
      <c r="H270" s="123"/>
      <c r="I270" s="129"/>
      <c r="J270" s="129"/>
      <c r="K270" s="129"/>
      <c r="L270" s="129"/>
      <c r="M270" s="123"/>
      <c r="N270" s="123"/>
      <c r="O270" s="123"/>
      <c r="P270" s="123"/>
      <c r="Q270" s="123"/>
      <c r="R270" s="123"/>
      <c r="S270" s="123"/>
      <c r="T270" s="123"/>
      <c r="U270" s="123"/>
      <c r="V270" s="123"/>
      <c r="W270" s="74"/>
      <c r="X270" s="73"/>
      <c r="Y270" s="73"/>
      <c r="Z270" s="73"/>
      <c r="AA270" s="73"/>
      <c r="AB270" s="73"/>
      <c r="AC270" s="73"/>
      <c r="AD270" s="73"/>
      <c r="AE270" s="73"/>
      <c r="AF270" s="73"/>
      <c r="AG270" s="75"/>
    </row>
    <row r="271" spans="1:33" ht="13.5" customHeight="1">
      <c r="A271" s="73"/>
      <c r="B271" s="123"/>
      <c r="C271" s="123"/>
      <c r="D271" s="123"/>
      <c r="E271" s="123"/>
      <c r="F271" s="123"/>
      <c r="G271" s="130"/>
      <c r="H271" s="123"/>
      <c r="I271" s="129"/>
      <c r="J271" s="129"/>
      <c r="K271" s="129"/>
      <c r="L271" s="129"/>
      <c r="M271" s="123"/>
      <c r="N271" s="123"/>
      <c r="O271" s="123"/>
      <c r="P271" s="123"/>
      <c r="Q271" s="123"/>
      <c r="R271" s="123"/>
      <c r="S271" s="123"/>
      <c r="T271" s="123"/>
      <c r="U271" s="123"/>
      <c r="V271" s="123"/>
      <c r="W271" s="74"/>
      <c r="X271" s="73"/>
      <c r="Y271" s="73"/>
      <c r="Z271" s="73"/>
      <c r="AA271" s="73"/>
      <c r="AB271" s="73"/>
      <c r="AC271" s="73"/>
      <c r="AD271" s="73"/>
      <c r="AE271" s="73"/>
      <c r="AF271" s="73"/>
      <c r="AG271" s="75"/>
    </row>
    <row r="272" spans="1:33" ht="13.5" customHeight="1">
      <c r="A272" s="73"/>
      <c r="B272" s="123"/>
      <c r="C272" s="123"/>
      <c r="D272" s="123"/>
      <c r="E272" s="123"/>
      <c r="F272" s="123"/>
      <c r="G272" s="130"/>
      <c r="H272" s="123"/>
      <c r="I272" s="129"/>
      <c r="J272" s="129"/>
      <c r="K272" s="129"/>
      <c r="L272" s="129"/>
      <c r="M272" s="123"/>
      <c r="N272" s="123"/>
      <c r="O272" s="123"/>
      <c r="P272" s="123"/>
      <c r="Q272" s="123"/>
      <c r="R272" s="123"/>
      <c r="S272" s="123"/>
      <c r="T272" s="123"/>
      <c r="U272" s="123"/>
      <c r="V272" s="123"/>
      <c r="W272" s="74"/>
      <c r="X272" s="73"/>
      <c r="Y272" s="73"/>
      <c r="Z272" s="73"/>
      <c r="AA272" s="73"/>
      <c r="AB272" s="73"/>
      <c r="AC272" s="73"/>
      <c r="AD272" s="73"/>
      <c r="AE272" s="73"/>
      <c r="AF272" s="73"/>
      <c r="AG272" s="75"/>
    </row>
    <row r="273" spans="1:33" ht="13.5" customHeight="1">
      <c r="A273" s="73"/>
      <c r="B273" s="123"/>
      <c r="C273" s="123"/>
      <c r="D273" s="123"/>
      <c r="E273" s="123"/>
      <c r="F273" s="123"/>
      <c r="G273" s="130"/>
      <c r="H273" s="123"/>
      <c r="I273" s="129"/>
      <c r="J273" s="129"/>
      <c r="K273" s="129"/>
      <c r="L273" s="129"/>
      <c r="M273" s="123"/>
      <c r="N273" s="123"/>
      <c r="O273" s="123"/>
      <c r="P273" s="123"/>
      <c r="Q273" s="123"/>
      <c r="R273" s="123"/>
      <c r="S273" s="123"/>
      <c r="T273" s="123"/>
      <c r="U273" s="123"/>
      <c r="V273" s="123"/>
      <c r="W273" s="74"/>
      <c r="X273" s="73"/>
      <c r="Y273" s="73"/>
      <c r="Z273" s="73"/>
      <c r="AA273" s="73"/>
      <c r="AB273" s="73"/>
      <c r="AC273" s="73"/>
      <c r="AD273" s="73"/>
      <c r="AE273" s="73"/>
      <c r="AF273" s="73"/>
      <c r="AG273" s="75"/>
    </row>
    <row r="274" spans="1:33" ht="13.5" customHeight="1">
      <c r="A274" s="73"/>
      <c r="B274" s="123"/>
      <c r="C274" s="123"/>
      <c r="D274" s="123"/>
      <c r="E274" s="123"/>
      <c r="F274" s="123"/>
      <c r="G274" s="130"/>
      <c r="H274" s="123"/>
      <c r="I274" s="129"/>
      <c r="J274" s="129"/>
      <c r="K274" s="129"/>
      <c r="L274" s="129"/>
      <c r="M274" s="123"/>
      <c r="N274" s="123"/>
      <c r="O274" s="123"/>
      <c r="P274" s="123"/>
      <c r="Q274" s="123"/>
      <c r="R274" s="123"/>
      <c r="S274" s="123"/>
      <c r="T274" s="123"/>
      <c r="U274" s="123"/>
      <c r="V274" s="123"/>
      <c r="W274" s="74"/>
      <c r="X274" s="73"/>
      <c r="Y274" s="73"/>
      <c r="Z274" s="73"/>
      <c r="AA274" s="73"/>
      <c r="AB274" s="73"/>
      <c r="AC274" s="73"/>
      <c r="AD274" s="73"/>
      <c r="AE274" s="73"/>
      <c r="AF274" s="73"/>
      <c r="AG274" s="75"/>
    </row>
    <row r="275" spans="1:33" ht="13.5" customHeight="1">
      <c r="A275" s="73"/>
      <c r="B275" s="123"/>
      <c r="C275" s="123"/>
      <c r="D275" s="123"/>
      <c r="E275" s="123"/>
      <c r="F275" s="123"/>
      <c r="G275" s="130"/>
      <c r="H275" s="123"/>
      <c r="I275" s="129"/>
      <c r="J275" s="129"/>
      <c r="K275" s="129"/>
      <c r="L275" s="129"/>
      <c r="M275" s="123"/>
      <c r="N275" s="123"/>
      <c r="O275" s="123"/>
      <c r="P275" s="123"/>
      <c r="Q275" s="123"/>
      <c r="R275" s="123"/>
      <c r="S275" s="123"/>
      <c r="T275" s="123"/>
      <c r="U275" s="123"/>
      <c r="V275" s="123"/>
      <c r="W275" s="74"/>
      <c r="X275" s="73"/>
      <c r="Y275" s="73"/>
      <c r="Z275" s="73"/>
      <c r="AA275" s="73"/>
      <c r="AB275" s="73"/>
      <c r="AC275" s="73"/>
      <c r="AD275" s="73"/>
      <c r="AE275" s="73"/>
      <c r="AF275" s="73"/>
      <c r="AG275" s="75"/>
    </row>
    <row r="276" spans="1:33" ht="13.5" customHeight="1">
      <c r="A276" s="73"/>
      <c r="B276" s="123"/>
      <c r="C276" s="123"/>
      <c r="D276" s="123"/>
      <c r="E276" s="123"/>
      <c r="F276" s="123"/>
      <c r="G276" s="130"/>
      <c r="H276" s="123"/>
      <c r="I276" s="129"/>
      <c r="J276" s="129"/>
      <c r="K276" s="129"/>
      <c r="L276" s="129"/>
      <c r="M276" s="123"/>
      <c r="N276" s="123"/>
      <c r="O276" s="123"/>
      <c r="P276" s="123"/>
      <c r="Q276" s="123"/>
      <c r="R276" s="123"/>
      <c r="S276" s="123"/>
      <c r="T276" s="123"/>
      <c r="U276" s="123"/>
      <c r="V276" s="123"/>
      <c r="W276" s="74"/>
      <c r="X276" s="73"/>
      <c r="Y276" s="73"/>
      <c r="Z276" s="73"/>
      <c r="AA276" s="73"/>
      <c r="AB276" s="73"/>
      <c r="AC276" s="73"/>
      <c r="AD276" s="73"/>
      <c r="AE276" s="73"/>
      <c r="AF276" s="73"/>
      <c r="AG276" s="75"/>
    </row>
    <row r="277" spans="1:33" ht="13.5" customHeight="1">
      <c r="A277" s="73"/>
      <c r="B277" s="123"/>
      <c r="C277" s="123"/>
      <c r="D277" s="123"/>
      <c r="E277" s="123"/>
      <c r="F277" s="123"/>
      <c r="G277" s="130"/>
      <c r="H277" s="123"/>
      <c r="I277" s="129"/>
      <c r="J277" s="129"/>
      <c r="K277" s="129"/>
      <c r="L277" s="129"/>
      <c r="M277" s="123"/>
      <c r="N277" s="123"/>
      <c r="O277" s="123"/>
      <c r="P277" s="123"/>
      <c r="Q277" s="123"/>
      <c r="R277" s="123"/>
      <c r="S277" s="123"/>
      <c r="T277" s="123"/>
      <c r="U277" s="123"/>
      <c r="V277" s="123"/>
      <c r="W277" s="74"/>
      <c r="X277" s="73"/>
      <c r="Y277" s="73"/>
      <c r="Z277" s="73"/>
      <c r="AA277" s="73"/>
      <c r="AB277" s="73"/>
      <c r="AC277" s="73"/>
      <c r="AD277" s="73"/>
      <c r="AE277" s="73"/>
      <c r="AF277" s="73"/>
      <c r="AG277" s="75"/>
    </row>
    <row r="278" spans="1:33" ht="13.5" customHeight="1">
      <c r="A278" s="73"/>
      <c r="B278" s="123"/>
      <c r="C278" s="123"/>
      <c r="D278" s="123"/>
      <c r="E278" s="123"/>
      <c r="F278" s="123"/>
      <c r="G278" s="130"/>
      <c r="H278" s="123"/>
      <c r="I278" s="129"/>
      <c r="J278" s="129"/>
      <c r="K278" s="129"/>
      <c r="L278" s="129"/>
      <c r="M278" s="123"/>
      <c r="N278" s="123"/>
      <c r="O278" s="123"/>
      <c r="P278" s="123"/>
      <c r="Q278" s="123"/>
      <c r="R278" s="123"/>
      <c r="S278" s="123"/>
      <c r="T278" s="123"/>
      <c r="U278" s="123"/>
      <c r="V278" s="123"/>
      <c r="W278" s="74"/>
      <c r="X278" s="73"/>
      <c r="Y278" s="73"/>
      <c r="Z278" s="73"/>
      <c r="AA278" s="73"/>
      <c r="AB278" s="73"/>
      <c r="AC278" s="73"/>
      <c r="AD278" s="73"/>
      <c r="AE278" s="73"/>
      <c r="AF278" s="73"/>
      <c r="AG278" s="75"/>
    </row>
    <row r="279" spans="1:33" ht="13.5" customHeight="1">
      <c r="A279" s="73"/>
      <c r="B279" s="123"/>
      <c r="C279" s="123"/>
      <c r="D279" s="123"/>
      <c r="E279" s="123"/>
      <c r="F279" s="123"/>
      <c r="G279" s="130"/>
      <c r="H279" s="123"/>
      <c r="I279" s="129"/>
      <c r="J279" s="129"/>
      <c r="K279" s="129"/>
      <c r="L279" s="129"/>
      <c r="M279" s="123"/>
      <c r="N279" s="123"/>
      <c r="O279" s="123"/>
      <c r="P279" s="123"/>
      <c r="Q279" s="123"/>
      <c r="R279" s="123"/>
      <c r="S279" s="123"/>
      <c r="T279" s="123"/>
      <c r="U279" s="123"/>
      <c r="V279" s="123"/>
      <c r="W279" s="74"/>
      <c r="X279" s="73"/>
      <c r="Y279" s="73"/>
      <c r="Z279" s="73"/>
      <c r="AA279" s="73"/>
      <c r="AB279" s="73"/>
      <c r="AC279" s="73"/>
      <c r="AD279" s="73"/>
      <c r="AE279" s="73"/>
      <c r="AF279" s="73"/>
      <c r="AG279" s="75"/>
    </row>
    <row r="280" spans="1:33" ht="13.5" customHeight="1">
      <c r="A280" s="73"/>
      <c r="B280" s="123"/>
      <c r="C280" s="123"/>
      <c r="D280" s="123"/>
      <c r="E280" s="123"/>
      <c r="F280" s="123"/>
      <c r="G280" s="130"/>
      <c r="H280" s="123"/>
      <c r="I280" s="129"/>
      <c r="J280" s="129"/>
      <c r="K280" s="129"/>
      <c r="L280" s="129"/>
      <c r="M280" s="123"/>
      <c r="N280" s="123"/>
      <c r="O280" s="123"/>
      <c r="P280" s="123"/>
      <c r="Q280" s="123"/>
      <c r="R280" s="123"/>
      <c r="S280" s="123"/>
      <c r="T280" s="123"/>
      <c r="U280" s="123"/>
      <c r="V280" s="123"/>
      <c r="W280" s="74"/>
      <c r="X280" s="73"/>
      <c r="Y280" s="73"/>
      <c r="Z280" s="73"/>
      <c r="AA280" s="73"/>
      <c r="AB280" s="73"/>
      <c r="AC280" s="73"/>
      <c r="AD280" s="73"/>
      <c r="AE280" s="73"/>
      <c r="AF280" s="73"/>
      <c r="AG280" s="75"/>
    </row>
    <row r="281" spans="1:33" ht="13.5" customHeight="1">
      <c r="A281" s="73"/>
      <c r="B281" s="123"/>
      <c r="C281" s="123"/>
      <c r="D281" s="123"/>
      <c r="E281" s="123"/>
      <c r="F281" s="123"/>
      <c r="G281" s="130"/>
      <c r="H281" s="123"/>
      <c r="I281" s="129"/>
      <c r="J281" s="129"/>
      <c r="K281" s="129"/>
      <c r="L281" s="129"/>
      <c r="M281" s="123"/>
      <c r="N281" s="123"/>
      <c r="O281" s="123"/>
      <c r="P281" s="123"/>
      <c r="Q281" s="123"/>
      <c r="R281" s="123"/>
      <c r="S281" s="123"/>
      <c r="T281" s="123"/>
      <c r="U281" s="123"/>
      <c r="V281" s="123"/>
      <c r="W281" s="74"/>
      <c r="X281" s="73"/>
      <c r="Y281" s="73"/>
      <c r="Z281" s="73"/>
      <c r="AA281" s="73"/>
      <c r="AB281" s="73"/>
      <c r="AC281" s="73"/>
      <c r="AD281" s="73"/>
      <c r="AE281" s="73"/>
      <c r="AF281" s="73"/>
      <c r="AG281" s="75"/>
    </row>
    <row r="282" spans="1:33" ht="13.5" customHeight="1">
      <c r="A282" s="73"/>
      <c r="B282" s="123"/>
      <c r="C282" s="123"/>
      <c r="D282" s="123"/>
      <c r="E282" s="123"/>
      <c r="F282" s="123"/>
      <c r="G282" s="130"/>
      <c r="H282" s="123"/>
      <c r="I282" s="129"/>
      <c r="J282" s="129"/>
      <c r="K282" s="129"/>
      <c r="L282" s="129"/>
      <c r="M282" s="123"/>
      <c r="N282" s="123"/>
      <c r="O282" s="123"/>
      <c r="P282" s="123"/>
      <c r="Q282" s="123"/>
      <c r="R282" s="123"/>
      <c r="S282" s="123"/>
      <c r="T282" s="123"/>
      <c r="U282" s="123"/>
      <c r="V282" s="123"/>
      <c r="W282" s="74"/>
      <c r="X282" s="73"/>
      <c r="Y282" s="73"/>
      <c r="Z282" s="73"/>
      <c r="AA282" s="73"/>
      <c r="AB282" s="73"/>
      <c r="AC282" s="73"/>
      <c r="AD282" s="73"/>
      <c r="AE282" s="73"/>
      <c r="AF282" s="73"/>
      <c r="AG282" s="75"/>
    </row>
    <row r="283" spans="1:33" ht="13.5" customHeight="1">
      <c r="A283" s="73"/>
      <c r="B283" s="123"/>
      <c r="C283" s="123"/>
      <c r="D283" s="123"/>
      <c r="E283" s="123"/>
      <c r="F283" s="123"/>
      <c r="G283" s="130"/>
      <c r="H283" s="123"/>
      <c r="I283" s="129"/>
      <c r="J283" s="129"/>
      <c r="K283" s="129"/>
      <c r="L283" s="129"/>
      <c r="M283" s="123"/>
      <c r="N283" s="123"/>
      <c r="O283" s="123"/>
      <c r="P283" s="123"/>
      <c r="Q283" s="123"/>
      <c r="R283" s="123"/>
      <c r="S283" s="123"/>
      <c r="T283" s="123"/>
      <c r="U283" s="123"/>
      <c r="V283" s="123"/>
      <c r="W283" s="74"/>
      <c r="X283" s="73"/>
      <c r="Y283" s="73"/>
      <c r="Z283" s="73"/>
      <c r="AA283" s="73"/>
      <c r="AB283" s="73"/>
      <c r="AC283" s="73"/>
      <c r="AD283" s="73"/>
      <c r="AE283" s="73"/>
      <c r="AF283" s="73"/>
      <c r="AG283" s="75"/>
    </row>
    <row r="284" spans="1:33" ht="13.5" customHeight="1">
      <c r="A284" s="73"/>
      <c r="B284" s="123"/>
      <c r="C284" s="123"/>
      <c r="D284" s="123"/>
      <c r="E284" s="123"/>
      <c r="F284" s="123"/>
      <c r="G284" s="130"/>
      <c r="H284" s="123"/>
      <c r="I284" s="129"/>
      <c r="J284" s="129"/>
      <c r="K284" s="129"/>
      <c r="L284" s="129"/>
      <c r="M284" s="123"/>
      <c r="N284" s="123"/>
      <c r="O284" s="123"/>
      <c r="P284" s="123"/>
      <c r="Q284" s="123"/>
      <c r="R284" s="123"/>
      <c r="S284" s="123"/>
      <c r="T284" s="123"/>
      <c r="U284" s="123"/>
      <c r="V284" s="123"/>
      <c r="W284" s="74"/>
      <c r="X284" s="73"/>
      <c r="Y284" s="73"/>
      <c r="Z284" s="73"/>
      <c r="AA284" s="73"/>
      <c r="AB284" s="73"/>
      <c r="AC284" s="73"/>
      <c r="AD284" s="73"/>
      <c r="AE284" s="73"/>
      <c r="AF284" s="73"/>
      <c r="AG284" s="75"/>
    </row>
    <row r="285" spans="1:33" ht="13.5" customHeight="1">
      <c r="A285" s="73"/>
      <c r="B285" s="123"/>
      <c r="C285" s="123"/>
      <c r="D285" s="123"/>
      <c r="E285" s="123"/>
      <c r="F285" s="123"/>
      <c r="G285" s="130"/>
      <c r="H285" s="123"/>
      <c r="I285" s="129"/>
      <c r="J285" s="129"/>
      <c r="K285" s="129"/>
      <c r="L285" s="129"/>
      <c r="M285" s="123"/>
      <c r="N285" s="123"/>
      <c r="O285" s="123"/>
      <c r="P285" s="123"/>
      <c r="Q285" s="123"/>
      <c r="R285" s="123"/>
      <c r="S285" s="123"/>
      <c r="T285" s="123"/>
      <c r="U285" s="123"/>
      <c r="V285" s="123"/>
      <c r="W285" s="74"/>
      <c r="X285" s="73"/>
      <c r="Y285" s="73"/>
      <c r="Z285" s="73"/>
      <c r="AA285" s="73"/>
      <c r="AB285" s="73"/>
      <c r="AC285" s="73"/>
      <c r="AD285" s="73"/>
      <c r="AE285" s="73"/>
      <c r="AF285" s="73"/>
      <c r="AG285" s="75"/>
    </row>
    <row r="286" spans="1:33" ht="13.5" customHeight="1">
      <c r="A286" s="73"/>
      <c r="B286" s="123"/>
      <c r="C286" s="123"/>
      <c r="D286" s="123"/>
      <c r="E286" s="123"/>
      <c r="F286" s="123"/>
      <c r="G286" s="130"/>
      <c r="H286" s="123"/>
      <c r="I286" s="129"/>
      <c r="J286" s="129"/>
      <c r="K286" s="129"/>
      <c r="L286" s="129"/>
      <c r="M286" s="123"/>
      <c r="N286" s="123"/>
      <c r="O286" s="123"/>
      <c r="P286" s="123"/>
      <c r="Q286" s="123"/>
      <c r="R286" s="123"/>
      <c r="S286" s="123"/>
      <c r="T286" s="123"/>
      <c r="U286" s="123"/>
      <c r="V286" s="123"/>
      <c r="W286" s="74"/>
      <c r="X286" s="73"/>
      <c r="Y286" s="73"/>
      <c r="Z286" s="73"/>
      <c r="AA286" s="73"/>
      <c r="AB286" s="73"/>
      <c r="AC286" s="73"/>
      <c r="AD286" s="73"/>
      <c r="AE286" s="73"/>
      <c r="AF286" s="73"/>
      <c r="AG286" s="75"/>
    </row>
    <row r="287" spans="1:33" ht="13.5" customHeight="1">
      <c r="A287" s="73"/>
      <c r="B287" s="123"/>
      <c r="C287" s="123"/>
      <c r="D287" s="123"/>
      <c r="E287" s="123"/>
      <c r="F287" s="123"/>
      <c r="G287" s="130"/>
      <c r="H287" s="123"/>
      <c r="I287" s="129"/>
      <c r="J287" s="129"/>
      <c r="K287" s="129"/>
      <c r="L287" s="129"/>
      <c r="M287" s="123"/>
      <c r="N287" s="123"/>
      <c r="O287" s="123"/>
      <c r="P287" s="123"/>
      <c r="Q287" s="123"/>
      <c r="R287" s="123"/>
      <c r="S287" s="123"/>
      <c r="T287" s="123"/>
      <c r="U287" s="123"/>
      <c r="V287" s="123"/>
      <c r="W287" s="74"/>
      <c r="X287" s="73"/>
      <c r="Y287" s="73"/>
      <c r="Z287" s="73"/>
      <c r="AA287" s="73"/>
      <c r="AB287" s="73"/>
      <c r="AC287" s="73"/>
      <c r="AD287" s="73"/>
      <c r="AE287" s="73"/>
      <c r="AF287" s="73"/>
      <c r="AG287" s="75"/>
    </row>
    <row r="288" spans="1:33" ht="13.5" customHeight="1">
      <c r="A288" s="73"/>
      <c r="B288" s="123"/>
      <c r="C288" s="123"/>
      <c r="D288" s="123"/>
      <c r="E288" s="123"/>
      <c r="F288" s="123"/>
      <c r="G288" s="130"/>
      <c r="H288" s="123"/>
      <c r="I288" s="129"/>
      <c r="J288" s="129"/>
      <c r="K288" s="129"/>
      <c r="L288" s="129"/>
      <c r="M288" s="123"/>
      <c r="N288" s="123"/>
      <c r="O288" s="123"/>
      <c r="P288" s="123"/>
      <c r="Q288" s="123"/>
      <c r="R288" s="123"/>
      <c r="S288" s="123"/>
      <c r="T288" s="123"/>
      <c r="U288" s="123"/>
      <c r="V288" s="123"/>
      <c r="W288" s="74"/>
      <c r="X288" s="73"/>
      <c r="Y288" s="73"/>
      <c r="Z288" s="73"/>
      <c r="AA288" s="73"/>
      <c r="AB288" s="73"/>
      <c r="AC288" s="73"/>
      <c r="AD288" s="73"/>
      <c r="AE288" s="73"/>
      <c r="AF288" s="73"/>
      <c r="AG288" s="75"/>
    </row>
    <row r="289" spans="1:33" ht="13.5" customHeight="1">
      <c r="A289" s="73"/>
      <c r="B289" s="123"/>
      <c r="C289" s="123"/>
      <c r="D289" s="123"/>
      <c r="E289" s="123"/>
      <c r="F289" s="123"/>
      <c r="G289" s="130"/>
      <c r="H289" s="123"/>
      <c r="I289" s="129"/>
      <c r="J289" s="129"/>
      <c r="K289" s="129"/>
      <c r="L289" s="129"/>
      <c r="M289" s="123"/>
      <c r="N289" s="123"/>
      <c r="O289" s="123"/>
      <c r="P289" s="123"/>
      <c r="Q289" s="123"/>
      <c r="R289" s="123"/>
      <c r="S289" s="123"/>
      <c r="T289" s="123"/>
      <c r="U289" s="123"/>
      <c r="V289" s="123"/>
      <c r="W289" s="74"/>
      <c r="X289" s="73"/>
      <c r="Y289" s="73"/>
      <c r="Z289" s="73"/>
      <c r="AA289" s="73"/>
      <c r="AB289" s="73"/>
      <c r="AC289" s="73"/>
      <c r="AD289" s="73"/>
      <c r="AE289" s="73"/>
      <c r="AF289" s="73"/>
      <c r="AG289" s="75"/>
    </row>
    <row r="290" spans="1:33" ht="13.5" customHeight="1">
      <c r="A290" s="73"/>
      <c r="B290" s="123"/>
      <c r="C290" s="123"/>
      <c r="D290" s="123"/>
      <c r="E290" s="123"/>
      <c r="F290" s="123"/>
      <c r="G290" s="130"/>
      <c r="H290" s="123"/>
      <c r="I290" s="129"/>
      <c r="J290" s="129"/>
      <c r="K290" s="129"/>
      <c r="L290" s="129"/>
      <c r="M290" s="123"/>
      <c r="N290" s="123"/>
      <c r="O290" s="123"/>
      <c r="P290" s="123"/>
      <c r="Q290" s="123"/>
      <c r="R290" s="123"/>
      <c r="S290" s="123"/>
      <c r="T290" s="123"/>
      <c r="U290" s="123"/>
      <c r="V290" s="123"/>
      <c r="W290" s="74"/>
      <c r="X290" s="73"/>
      <c r="Y290" s="73"/>
      <c r="Z290" s="73"/>
      <c r="AA290" s="73"/>
      <c r="AB290" s="73"/>
      <c r="AC290" s="73"/>
      <c r="AD290" s="73"/>
      <c r="AE290" s="73"/>
      <c r="AF290" s="73"/>
      <c r="AG290" s="75"/>
    </row>
    <row r="291" spans="1:33" ht="13.5" customHeight="1">
      <c r="A291" s="73"/>
      <c r="B291" s="123"/>
      <c r="C291" s="123"/>
      <c r="D291" s="123"/>
      <c r="E291" s="123"/>
      <c r="F291" s="123"/>
      <c r="G291" s="130"/>
      <c r="H291" s="123"/>
      <c r="I291" s="129"/>
      <c r="J291" s="129"/>
      <c r="K291" s="129"/>
      <c r="L291" s="129"/>
      <c r="M291" s="123"/>
      <c r="N291" s="123"/>
      <c r="O291" s="123"/>
      <c r="P291" s="123"/>
      <c r="Q291" s="123"/>
      <c r="R291" s="123"/>
      <c r="S291" s="123"/>
      <c r="T291" s="123"/>
      <c r="U291" s="123"/>
      <c r="V291" s="123"/>
      <c r="W291" s="74"/>
      <c r="X291" s="73"/>
      <c r="Y291" s="73"/>
      <c r="Z291" s="73"/>
      <c r="AA291" s="73"/>
      <c r="AB291" s="73"/>
      <c r="AC291" s="73"/>
      <c r="AD291" s="73"/>
      <c r="AE291" s="73"/>
      <c r="AF291" s="73"/>
      <c r="AG291" s="75"/>
    </row>
    <row r="292" spans="1:33" ht="13.5" customHeight="1">
      <c r="A292" s="73"/>
      <c r="B292" s="123"/>
      <c r="C292" s="123"/>
      <c r="D292" s="123"/>
      <c r="E292" s="123"/>
      <c r="F292" s="123"/>
      <c r="G292" s="130"/>
      <c r="H292" s="123"/>
      <c r="I292" s="129"/>
      <c r="J292" s="129"/>
      <c r="K292" s="129"/>
      <c r="L292" s="129"/>
      <c r="M292" s="123"/>
      <c r="N292" s="123"/>
      <c r="O292" s="123"/>
      <c r="P292" s="123"/>
      <c r="Q292" s="123"/>
      <c r="R292" s="123"/>
      <c r="S292" s="123"/>
      <c r="T292" s="123"/>
      <c r="U292" s="123"/>
      <c r="V292" s="123"/>
      <c r="W292" s="74"/>
      <c r="X292" s="73"/>
      <c r="Y292" s="73"/>
      <c r="Z292" s="73"/>
      <c r="AA292" s="73"/>
      <c r="AB292" s="73"/>
      <c r="AC292" s="73"/>
      <c r="AD292" s="73"/>
      <c r="AE292" s="73"/>
      <c r="AF292" s="73"/>
      <c r="AG292" s="75"/>
    </row>
    <row r="293" spans="1:33" ht="13.5" customHeight="1">
      <c r="A293" s="73"/>
      <c r="B293" s="123"/>
      <c r="C293" s="123"/>
      <c r="D293" s="123"/>
      <c r="E293" s="123"/>
      <c r="F293" s="123"/>
      <c r="G293" s="130"/>
      <c r="H293" s="123"/>
      <c r="I293" s="129"/>
      <c r="J293" s="129"/>
      <c r="K293" s="129"/>
      <c r="L293" s="129"/>
      <c r="M293" s="123"/>
      <c r="N293" s="123"/>
      <c r="O293" s="123"/>
      <c r="P293" s="123"/>
      <c r="Q293" s="123"/>
      <c r="R293" s="123"/>
      <c r="S293" s="123"/>
      <c r="T293" s="123"/>
      <c r="U293" s="123"/>
      <c r="V293" s="123"/>
      <c r="W293" s="74"/>
      <c r="X293" s="73"/>
      <c r="Y293" s="73"/>
      <c r="Z293" s="73"/>
      <c r="AA293" s="73"/>
      <c r="AB293" s="73"/>
      <c r="AC293" s="73"/>
      <c r="AD293" s="73"/>
      <c r="AE293" s="73"/>
      <c r="AF293" s="73"/>
      <c r="AG293" s="75"/>
    </row>
    <row r="294" spans="1:33" ht="13.5" customHeight="1">
      <c r="A294" s="73"/>
      <c r="B294" s="123"/>
      <c r="C294" s="123"/>
      <c r="D294" s="123"/>
      <c r="E294" s="123"/>
      <c r="F294" s="123"/>
      <c r="G294" s="130"/>
      <c r="H294" s="123"/>
      <c r="I294" s="129"/>
      <c r="J294" s="129"/>
      <c r="K294" s="129"/>
      <c r="L294" s="129"/>
      <c r="M294" s="123"/>
      <c r="N294" s="123"/>
      <c r="O294" s="123"/>
      <c r="P294" s="123"/>
      <c r="Q294" s="123"/>
      <c r="R294" s="123"/>
      <c r="S294" s="123"/>
      <c r="T294" s="123"/>
      <c r="U294" s="123"/>
      <c r="V294" s="123"/>
      <c r="W294" s="74"/>
      <c r="X294" s="73"/>
      <c r="Y294" s="73"/>
      <c r="Z294" s="73"/>
      <c r="AA294" s="73"/>
      <c r="AB294" s="73"/>
      <c r="AC294" s="73"/>
      <c r="AD294" s="73"/>
      <c r="AE294" s="73"/>
      <c r="AF294" s="73"/>
      <c r="AG294" s="75"/>
    </row>
    <row r="295" spans="1:33" ht="13.5" customHeight="1">
      <c r="A295" s="73"/>
      <c r="B295" s="123"/>
      <c r="C295" s="123"/>
      <c r="D295" s="123"/>
      <c r="E295" s="123"/>
      <c r="F295" s="123"/>
      <c r="G295" s="130"/>
      <c r="H295" s="123"/>
      <c r="I295" s="129"/>
      <c r="J295" s="129"/>
      <c r="K295" s="129"/>
      <c r="L295" s="129"/>
      <c r="M295" s="123"/>
      <c r="N295" s="123"/>
      <c r="O295" s="123"/>
      <c r="P295" s="123"/>
      <c r="Q295" s="123"/>
      <c r="R295" s="123"/>
      <c r="S295" s="123"/>
      <c r="T295" s="123"/>
      <c r="U295" s="123"/>
      <c r="V295" s="123"/>
      <c r="W295" s="74"/>
      <c r="X295" s="73"/>
      <c r="Y295" s="73"/>
      <c r="Z295" s="73"/>
      <c r="AA295" s="73"/>
      <c r="AB295" s="73"/>
      <c r="AC295" s="73"/>
      <c r="AD295" s="73"/>
      <c r="AE295" s="73"/>
      <c r="AF295" s="73"/>
      <c r="AG295" s="75"/>
    </row>
    <row r="296" spans="1:33" ht="13.5" customHeight="1">
      <c r="A296" s="73"/>
      <c r="B296" s="123"/>
      <c r="C296" s="123"/>
      <c r="D296" s="123"/>
      <c r="E296" s="123"/>
      <c r="F296" s="123"/>
      <c r="G296" s="130"/>
      <c r="H296" s="123"/>
      <c r="I296" s="129"/>
      <c r="J296" s="129"/>
      <c r="K296" s="129"/>
      <c r="L296" s="129"/>
      <c r="M296" s="123"/>
      <c r="N296" s="123"/>
      <c r="O296" s="123"/>
      <c r="P296" s="123"/>
      <c r="Q296" s="123"/>
      <c r="R296" s="123"/>
      <c r="S296" s="123"/>
      <c r="T296" s="123"/>
      <c r="U296" s="123"/>
      <c r="V296" s="123"/>
      <c r="W296" s="74"/>
      <c r="X296" s="73"/>
      <c r="Y296" s="73"/>
      <c r="Z296" s="73"/>
      <c r="AA296" s="73"/>
      <c r="AB296" s="73"/>
      <c r="AC296" s="73"/>
      <c r="AD296" s="73"/>
      <c r="AE296" s="73"/>
      <c r="AF296" s="73"/>
      <c r="AG296" s="75"/>
    </row>
    <row r="297" spans="1:33" ht="13.5" customHeight="1">
      <c r="A297" s="73"/>
      <c r="B297" s="123"/>
      <c r="C297" s="123"/>
      <c r="D297" s="123"/>
      <c r="E297" s="123"/>
      <c r="F297" s="123"/>
      <c r="G297" s="130"/>
      <c r="H297" s="123"/>
      <c r="I297" s="129"/>
      <c r="J297" s="129"/>
      <c r="K297" s="129"/>
      <c r="L297" s="129"/>
      <c r="M297" s="123"/>
      <c r="N297" s="123"/>
      <c r="O297" s="123"/>
      <c r="P297" s="123"/>
      <c r="Q297" s="123"/>
      <c r="R297" s="123"/>
      <c r="S297" s="123"/>
      <c r="T297" s="123"/>
      <c r="U297" s="123"/>
      <c r="V297" s="123"/>
      <c r="W297" s="74"/>
      <c r="X297" s="73"/>
      <c r="Y297" s="73"/>
      <c r="Z297" s="73"/>
      <c r="AA297" s="73"/>
      <c r="AB297" s="73"/>
      <c r="AC297" s="73"/>
      <c r="AD297" s="73"/>
      <c r="AE297" s="73"/>
      <c r="AF297" s="73"/>
      <c r="AG297" s="75"/>
    </row>
    <row r="298" spans="1:33" ht="13.5" customHeight="1">
      <c r="A298" s="73"/>
      <c r="B298" s="123"/>
      <c r="C298" s="123"/>
      <c r="D298" s="123"/>
      <c r="E298" s="123"/>
      <c r="F298" s="123"/>
      <c r="G298" s="130"/>
      <c r="H298" s="123"/>
      <c r="I298" s="129"/>
      <c r="J298" s="129"/>
      <c r="K298" s="129"/>
      <c r="L298" s="129"/>
      <c r="M298" s="123"/>
      <c r="N298" s="123"/>
      <c r="O298" s="123"/>
      <c r="P298" s="123"/>
      <c r="Q298" s="123"/>
      <c r="R298" s="123"/>
      <c r="S298" s="123"/>
      <c r="T298" s="123"/>
      <c r="U298" s="123"/>
      <c r="V298" s="123"/>
      <c r="W298" s="74"/>
      <c r="X298" s="73"/>
      <c r="Y298" s="73"/>
      <c r="Z298" s="73"/>
      <c r="AA298" s="73"/>
      <c r="AB298" s="73"/>
      <c r="AC298" s="73"/>
      <c r="AD298" s="73"/>
      <c r="AE298" s="73"/>
      <c r="AF298" s="73"/>
      <c r="AG298" s="75"/>
    </row>
    <row r="299" spans="1:33" ht="13.5" customHeight="1">
      <c r="A299" s="73"/>
      <c r="B299" s="123"/>
      <c r="C299" s="123"/>
      <c r="D299" s="123"/>
      <c r="E299" s="123"/>
      <c r="F299" s="123"/>
      <c r="G299" s="130"/>
      <c r="H299" s="123"/>
      <c r="I299" s="129"/>
      <c r="J299" s="129"/>
      <c r="K299" s="129"/>
      <c r="L299" s="129"/>
      <c r="M299" s="123"/>
      <c r="N299" s="123"/>
      <c r="O299" s="123"/>
      <c r="P299" s="123"/>
      <c r="Q299" s="123"/>
      <c r="R299" s="123"/>
      <c r="S299" s="123"/>
      <c r="T299" s="123"/>
      <c r="U299" s="123"/>
      <c r="V299" s="123"/>
      <c r="W299" s="74"/>
      <c r="X299" s="73"/>
      <c r="Y299" s="73"/>
      <c r="Z299" s="73"/>
      <c r="AA299" s="73"/>
      <c r="AB299" s="73"/>
      <c r="AC299" s="73"/>
      <c r="AD299" s="73"/>
      <c r="AE299" s="73"/>
      <c r="AF299" s="73"/>
      <c r="AG299" s="75"/>
    </row>
    <row r="300" spans="1:33" ht="13.5" customHeight="1">
      <c r="A300" s="73"/>
      <c r="B300" s="123"/>
      <c r="C300" s="123"/>
      <c r="D300" s="123"/>
      <c r="E300" s="123"/>
      <c r="F300" s="123"/>
      <c r="G300" s="130"/>
      <c r="H300" s="123"/>
      <c r="I300" s="129"/>
      <c r="J300" s="129"/>
      <c r="K300" s="129"/>
      <c r="L300" s="129"/>
      <c r="M300" s="123"/>
      <c r="N300" s="123"/>
      <c r="O300" s="123"/>
      <c r="P300" s="123"/>
      <c r="Q300" s="123"/>
      <c r="R300" s="123"/>
      <c r="S300" s="123"/>
      <c r="T300" s="123"/>
      <c r="U300" s="123"/>
      <c r="V300" s="123"/>
      <c r="W300" s="74"/>
      <c r="X300" s="73"/>
      <c r="Y300" s="73"/>
      <c r="Z300" s="73"/>
      <c r="AA300" s="73"/>
      <c r="AB300" s="73"/>
      <c r="AC300" s="73"/>
      <c r="AD300" s="73"/>
      <c r="AE300" s="73"/>
      <c r="AF300" s="73"/>
      <c r="AG300" s="75"/>
    </row>
    <row r="301" spans="1:33" ht="13.5" customHeight="1">
      <c r="A301" s="73"/>
      <c r="B301" s="123"/>
      <c r="C301" s="123"/>
      <c r="D301" s="123"/>
      <c r="E301" s="123"/>
      <c r="F301" s="123"/>
      <c r="G301" s="130"/>
      <c r="H301" s="123"/>
      <c r="I301" s="129"/>
      <c r="J301" s="129"/>
      <c r="K301" s="129"/>
      <c r="L301" s="129"/>
      <c r="M301" s="123"/>
      <c r="N301" s="123"/>
      <c r="O301" s="123"/>
      <c r="P301" s="123"/>
      <c r="Q301" s="123"/>
      <c r="R301" s="123"/>
      <c r="S301" s="123"/>
      <c r="T301" s="123"/>
      <c r="U301" s="123"/>
      <c r="V301" s="123"/>
      <c r="W301" s="74"/>
      <c r="X301" s="73"/>
      <c r="Y301" s="73"/>
      <c r="Z301" s="73"/>
      <c r="AA301" s="73"/>
      <c r="AB301" s="73"/>
      <c r="AC301" s="73"/>
      <c r="AD301" s="73"/>
      <c r="AE301" s="73"/>
      <c r="AF301" s="73"/>
      <c r="AG301" s="75"/>
    </row>
    <row r="302" spans="1:33" ht="13.5" customHeight="1">
      <c r="A302" s="73"/>
      <c r="B302" s="123"/>
      <c r="C302" s="123"/>
      <c r="D302" s="123"/>
      <c r="E302" s="123"/>
      <c r="F302" s="123"/>
      <c r="G302" s="130"/>
      <c r="H302" s="123"/>
      <c r="I302" s="129"/>
      <c r="J302" s="129"/>
      <c r="K302" s="129"/>
      <c r="L302" s="129"/>
      <c r="M302" s="123"/>
      <c r="N302" s="123"/>
      <c r="O302" s="123"/>
      <c r="P302" s="123"/>
      <c r="Q302" s="123"/>
      <c r="R302" s="123"/>
      <c r="S302" s="123"/>
      <c r="T302" s="123"/>
      <c r="U302" s="123"/>
      <c r="V302" s="123"/>
      <c r="W302" s="74"/>
      <c r="X302" s="73"/>
      <c r="Y302" s="73"/>
      <c r="Z302" s="73"/>
      <c r="AA302" s="73"/>
      <c r="AB302" s="73"/>
      <c r="AC302" s="73"/>
      <c r="AD302" s="73"/>
      <c r="AE302" s="73"/>
      <c r="AF302" s="73"/>
      <c r="AG302" s="75"/>
    </row>
    <row r="303" spans="1:33" ht="13.5" customHeight="1">
      <c r="A303" s="73"/>
      <c r="B303" s="123"/>
      <c r="C303" s="123"/>
      <c r="D303" s="123"/>
      <c r="E303" s="123"/>
      <c r="F303" s="123"/>
      <c r="G303" s="130"/>
      <c r="H303" s="123"/>
      <c r="I303" s="129"/>
      <c r="J303" s="129"/>
      <c r="K303" s="129"/>
      <c r="L303" s="129"/>
      <c r="M303" s="123"/>
      <c r="N303" s="123"/>
      <c r="O303" s="123"/>
      <c r="P303" s="123"/>
      <c r="Q303" s="123"/>
      <c r="R303" s="123"/>
      <c r="S303" s="123"/>
      <c r="T303" s="123"/>
      <c r="U303" s="123"/>
      <c r="V303" s="123"/>
      <c r="W303" s="74"/>
      <c r="X303" s="73"/>
      <c r="Y303" s="73"/>
      <c r="Z303" s="73"/>
      <c r="AA303" s="73"/>
      <c r="AB303" s="73"/>
      <c r="AC303" s="73"/>
      <c r="AD303" s="73"/>
      <c r="AE303" s="73"/>
      <c r="AF303" s="73"/>
      <c r="AG303" s="75"/>
    </row>
    <row r="304" spans="1:33" ht="13.5" customHeight="1">
      <c r="A304" s="73"/>
      <c r="B304" s="123"/>
      <c r="C304" s="123"/>
      <c r="D304" s="123"/>
      <c r="E304" s="123"/>
      <c r="F304" s="123"/>
      <c r="G304" s="130"/>
      <c r="H304" s="123"/>
      <c r="I304" s="129"/>
      <c r="J304" s="129"/>
      <c r="K304" s="129"/>
      <c r="L304" s="129"/>
      <c r="M304" s="123"/>
      <c r="N304" s="123"/>
      <c r="O304" s="123"/>
      <c r="P304" s="123"/>
      <c r="Q304" s="123"/>
      <c r="R304" s="123"/>
      <c r="S304" s="123"/>
      <c r="T304" s="123"/>
      <c r="U304" s="123"/>
      <c r="V304" s="123"/>
      <c r="W304" s="74"/>
      <c r="X304" s="73"/>
      <c r="Y304" s="73"/>
      <c r="Z304" s="73"/>
      <c r="AA304" s="73"/>
      <c r="AB304" s="73"/>
      <c r="AC304" s="73"/>
      <c r="AD304" s="73"/>
      <c r="AE304" s="73"/>
      <c r="AF304" s="73"/>
      <c r="AG304" s="75"/>
    </row>
    <row r="305" spans="1:33" ht="13.5" customHeight="1">
      <c r="A305" s="73"/>
      <c r="B305" s="123"/>
      <c r="C305" s="123"/>
      <c r="D305" s="123"/>
      <c r="E305" s="123"/>
      <c r="F305" s="123"/>
      <c r="G305" s="130"/>
      <c r="H305" s="123"/>
      <c r="I305" s="129"/>
      <c r="J305" s="129"/>
      <c r="K305" s="129"/>
      <c r="L305" s="129"/>
      <c r="M305" s="123"/>
      <c r="N305" s="123"/>
      <c r="O305" s="123"/>
      <c r="P305" s="123"/>
      <c r="Q305" s="123"/>
      <c r="R305" s="123"/>
      <c r="S305" s="123"/>
      <c r="T305" s="123"/>
      <c r="U305" s="123"/>
      <c r="V305" s="123"/>
      <c r="W305" s="74"/>
      <c r="X305" s="73"/>
      <c r="Y305" s="73"/>
      <c r="Z305" s="73"/>
      <c r="AA305" s="73"/>
      <c r="AB305" s="73"/>
      <c r="AC305" s="73"/>
      <c r="AD305" s="73"/>
      <c r="AE305" s="73"/>
      <c r="AF305" s="73"/>
      <c r="AG305" s="75"/>
    </row>
    <row r="306" spans="1:33" ht="13.5" customHeight="1">
      <c r="A306" s="73"/>
      <c r="B306" s="123"/>
      <c r="C306" s="123"/>
      <c r="D306" s="123"/>
      <c r="E306" s="123"/>
      <c r="F306" s="123"/>
      <c r="G306" s="130"/>
      <c r="H306" s="123"/>
      <c r="I306" s="129"/>
      <c r="J306" s="129"/>
      <c r="K306" s="129"/>
      <c r="L306" s="129"/>
      <c r="M306" s="123"/>
      <c r="N306" s="123"/>
      <c r="O306" s="123"/>
      <c r="P306" s="123"/>
      <c r="Q306" s="123"/>
      <c r="R306" s="123"/>
      <c r="S306" s="123"/>
      <c r="T306" s="123"/>
      <c r="U306" s="123"/>
      <c r="V306" s="123"/>
      <c r="W306" s="74"/>
      <c r="X306" s="73"/>
      <c r="Y306" s="73"/>
      <c r="Z306" s="73"/>
      <c r="AA306" s="73"/>
      <c r="AB306" s="73"/>
      <c r="AC306" s="73"/>
      <c r="AD306" s="73"/>
      <c r="AE306" s="73"/>
      <c r="AF306" s="73"/>
      <c r="AG306" s="75"/>
    </row>
    <row r="307" spans="1:33" ht="13.5" customHeight="1">
      <c r="A307" s="73"/>
      <c r="B307" s="123"/>
      <c r="C307" s="123"/>
      <c r="D307" s="123"/>
      <c r="E307" s="123"/>
      <c r="F307" s="123"/>
      <c r="G307" s="130"/>
      <c r="H307" s="123"/>
      <c r="I307" s="129"/>
      <c r="J307" s="129"/>
      <c r="K307" s="129"/>
      <c r="L307" s="129"/>
      <c r="M307" s="123"/>
      <c r="N307" s="123"/>
      <c r="O307" s="123"/>
      <c r="P307" s="123"/>
      <c r="Q307" s="123"/>
      <c r="R307" s="123"/>
      <c r="S307" s="123"/>
      <c r="T307" s="123"/>
      <c r="U307" s="123"/>
      <c r="V307" s="123"/>
      <c r="W307" s="74"/>
      <c r="X307" s="73"/>
      <c r="Y307" s="73"/>
      <c r="Z307" s="73"/>
      <c r="AA307" s="73"/>
      <c r="AB307" s="73"/>
      <c r="AC307" s="73"/>
      <c r="AD307" s="73"/>
      <c r="AE307" s="73"/>
      <c r="AF307" s="73"/>
      <c r="AG307" s="75"/>
    </row>
    <row r="308" spans="1:33" ht="13.5" customHeight="1">
      <c r="A308" s="73"/>
      <c r="B308" s="123"/>
      <c r="C308" s="123"/>
      <c r="D308" s="123"/>
      <c r="E308" s="123"/>
      <c r="F308" s="123"/>
      <c r="G308" s="130"/>
      <c r="H308" s="123"/>
      <c r="I308" s="129"/>
      <c r="J308" s="129"/>
      <c r="K308" s="129"/>
      <c r="L308" s="129"/>
      <c r="M308" s="123"/>
      <c r="N308" s="123"/>
      <c r="O308" s="123"/>
      <c r="P308" s="123"/>
      <c r="Q308" s="123"/>
      <c r="R308" s="123"/>
      <c r="S308" s="123"/>
      <c r="T308" s="123"/>
      <c r="U308" s="123"/>
      <c r="V308" s="123"/>
      <c r="W308" s="74"/>
      <c r="X308" s="73"/>
      <c r="Y308" s="73"/>
      <c r="Z308" s="73"/>
      <c r="AA308" s="73"/>
      <c r="AB308" s="73"/>
      <c r="AC308" s="73"/>
      <c r="AD308" s="73"/>
      <c r="AE308" s="73"/>
      <c r="AF308" s="73"/>
      <c r="AG308" s="75"/>
    </row>
    <row r="309" spans="1:33" ht="13.5" customHeight="1">
      <c r="A309" s="73"/>
      <c r="B309" s="123"/>
      <c r="C309" s="123"/>
      <c r="D309" s="123"/>
      <c r="E309" s="123"/>
      <c r="F309" s="123"/>
      <c r="G309" s="130"/>
      <c r="H309" s="123"/>
      <c r="I309" s="129"/>
      <c r="J309" s="129"/>
      <c r="K309" s="129"/>
      <c r="L309" s="129"/>
      <c r="M309" s="123"/>
      <c r="N309" s="123"/>
      <c r="O309" s="123"/>
      <c r="P309" s="123"/>
      <c r="Q309" s="123"/>
      <c r="R309" s="123"/>
      <c r="S309" s="123"/>
      <c r="T309" s="123"/>
      <c r="U309" s="123"/>
      <c r="V309" s="123"/>
      <c r="W309" s="74"/>
      <c r="X309" s="73"/>
      <c r="Y309" s="73"/>
      <c r="Z309" s="73"/>
      <c r="AA309" s="73"/>
      <c r="AB309" s="73"/>
      <c r="AC309" s="73"/>
      <c r="AD309" s="73"/>
      <c r="AE309" s="73"/>
      <c r="AF309" s="73"/>
      <c r="AG309" s="75"/>
    </row>
    <row r="310" spans="1:33" ht="13.5" customHeight="1">
      <c r="A310" s="73"/>
      <c r="B310" s="123"/>
      <c r="C310" s="123"/>
      <c r="D310" s="123"/>
      <c r="E310" s="123"/>
      <c r="F310" s="123"/>
      <c r="G310" s="130"/>
      <c r="H310" s="123"/>
      <c r="I310" s="129"/>
      <c r="J310" s="129"/>
      <c r="K310" s="129"/>
      <c r="L310" s="129"/>
      <c r="M310" s="123"/>
      <c r="N310" s="123"/>
      <c r="O310" s="123"/>
      <c r="P310" s="123"/>
      <c r="Q310" s="123"/>
      <c r="R310" s="123"/>
      <c r="S310" s="123"/>
      <c r="T310" s="123"/>
      <c r="U310" s="123"/>
      <c r="V310" s="123"/>
      <c r="W310" s="74"/>
      <c r="X310" s="73"/>
      <c r="Y310" s="73"/>
      <c r="Z310" s="73"/>
      <c r="AA310" s="73"/>
      <c r="AB310" s="73"/>
      <c r="AC310" s="73"/>
      <c r="AD310" s="73"/>
      <c r="AE310" s="73"/>
      <c r="AF310" s="73"/>
      <c r="AG310" s="75"/>
    </row>
    <row r="311" spans="1:33" ht="13.5" customHeight="1">
      <c r="A311" s="73"/>
      <c r="B311" s="123"/>
      <c r="C311" s="123"/>
      <c r="D311" s="123"/>
      <c r="E311" s="123"/>
      <c r="F311" s="123"/>
      <c r="G311" s="130"/>
      <c r="H311" s="123"/>
      <c r="I311" s="129"/>
      <c r="J311" s="129"/>
      <c r="K311" s="129"/>
      <c r="L311" s="129"/>
      <c r="M311" s="123"/>
      <c r="N311" s="123"/>
      <c r="O311" s="123"/>
      <c r="P311" s="123"/>
      <c r="Q311" s="123"/>
      <c r="R311" s="123"/>
      <c r="S311" s="123"/>
      <c r="T311" s="123"/>
      <c r="U311" s="123"/>
      <c r="V311" s="123"/>
      <c r="W311" s="74"/>
      <c r="X311" s="73"/>
      <c r="Y311" s="73"/>
      <c r="Z311" s="73"/>
      <c r="AA311" s="73"/>
      <c r="AB311" s="73"/>
      <c r="AC311" s="73"/>
      <c r="AD311" s="73"/>
      <c r="AE311" s="73"/>
      <c r="AF311" s="73"/>
      <c r="AG311" s="75"/>
    </row>
    <row r="312" spans="1:33" ht="13.5" customHeight="1">
      <c r="A312" s="73"/>
      <c r="B312" s="123"/>
      <c r="C312" s="123"/>
      <c r="D312" s="123"/>
      <c r="E312" s="123"/>
      <c r="F312" s="123"/>
      <c r="G312" s="130"/>
      <c r="H312" s="123"/>
      <c r="I312" s="129"/>
      <c r="J312" s="129"/>
      <c r="K312" s="129"/>
      <c r="L312" s="129"/>
      <c r="M312" s="123"/>
      <c r="N312" s="123"/>
      <c r="O312" s="123"/>
      <c r="P312" s="123"/>
      <c r="Q312" s="123"/>
      <c r="R312" s="123"/>
      <c r="S312" s="123"/>
      <c r="T312" s="123"/>
      <c r="U312" s="123"/>
      <c r="V312" s="123"/>
      <c r="W312" s="74"/>
      <c r="X312" s="73"/>
      <c r="Y312" s="73"/>
      <c r="Z312" s="73"/>
      <c r="AA312" s="73"/>
      <c r="AB312" s="73"/>
      <c r="AC312" s="73"/>
      <c r="AD312" s="73"/>
      <c r="AE312" s="73"/>
      <c r="AF312" s="73"/>
      <c r="AG312" s="75"/>
    </row>
    <row r="313" spans="1:33" ht="13.5" customHeight="1">
      <c r="A313" s="73"/>
      <c r="B313" s="123"/>
      <c r="C313" s="123"/>
      <c r="D313" s="123"/>
      <c r="E313" s="123"/>
      <c r="F313" s="123"/>
      <c r="G313" s="130"/>
      <c r="H313" s="123"/>
      <c r="I313" s="129"/>
      <c r="J313" s="129"/>
      <c r="K313" s="129"/>
      <c r="L313" s="129"/>
      <c r="M313" s="123"/>
      <c r="N313" s="123"/>
      <c r="O313" s="123"/>
      <c r="P313" s="123"/>
      <c r="Q313" s="123"/>
      <c r="R313" s="123"/>
      <c r="S313" s="123"/>
      <c r="T313" s="123"/>
      <c r="U313" s="123"/>
      <c r="V313" s="123"/>
      <c r="W313" s="74"/>
      <c r="X313" s="73"/>
      <c r="Y313" s="73"/>
      <c r="Z313" s="73"/>
      <c r="AA313" s="73"/>
      <c r="AB313" s="73"/>
      <c r="AC313" s="73"/>
      <c r="AD313" s="73"/>
      <c r="AE313" s="73"/>
      <c r="AF313" s="73"/>
      <c r="AG313" s="75"/>
    </row>
    <row r="314" spans="1:33" ht="13.5" customHeight="1">
      <c r="A314" s="73"/>
      <c r="B314" s="123"/>
      <c r="C314" s="123"/>
      <c r="D314" s="123"/>
      <c r="E314" s="123"/>
      <c r="F314" s="123"/>
      <c r="G314" s="130"/>
      <c r="H314" s="123"/>
      <c r="I314" s="129"/>
      <c r="J314" s="129"/>
      <c r="K314" s="129"/>
      <c r="L314" s="129"/>
      <c r="M314" s="123"/>
      <c r="N314" s="123"/>
      <c r="O314" s="123"/>
      <c r="P314" s="123"/>
      <c r="Q314" s="123"/>
      <c r="R314" s="123"/>
      <c r="S314" s="123"/>
      <c r="T314" s="123"/>
      <c r="U314" s="123"/>
      <c r="V314" s="123"/>
      <c r="W314" s="74"/>
      <c r="X314" s="73"/>
      <c r="Y314" s="73"/>
      <c r="Z314" s="73"/>
      <c r="AA314" s="73"/>
      <c r="AB314" s="73"/>
      <c r="AC314" s="73"/>
      <c r="AD314" s="73"/>
      <c r="AE314" s="73"/>
      <c r="AF314" s="73"/>
      <c r="AG314" s="75"/>
    </row>
    <row r="315" spans="1:33" ht="13.5" customHeight="1">
      <c r="A315" s="73"/>
      <c r="B315" s="123"/>
      <c r="C315" s="123"/>
      <c r="D315" s="123"/>
      <c r="E315" s="123"/>
      <c r="F315" s="123"/>
      <c r="G315" s="130"/>
      <c r="H315" s="123"/>
      <c r="I315" s="129"/>
      <c r="J315" s="129"/>
      <c r="K315" s="129"/>
      <c r="L315" s="129"/>
      <c r="M315" s="123"/>
      <c r="N315" s="123"/>
      <c r="O315" s="123"/>
      <c r="P315" s="123"/>
      <c r="Q315" s="123"/>
      <c r="R315" s="123"/>
      <c r="S315" s="123"/>
      <c r="T315" s="123"/>
      <c r="U315" s="123"/>
      <c r="V315" s="123"/>
      <c r="W315" s="74"/>
      <c r="X315" s="73"/>
      <c r="Y315" s="73"/>
      <c r="Z315" s="73"/>
      <c r="AA315" s="73"/>
      <c r="AB315" s="73"/>
      <c r="AC315" s="73"/>
      <c r="AD315" s="73"/>
      <c r="AE315" s="73"/>
      <c r="AF315" s="73"/>
      <c r="AG315" s="75"/>
    </row>
    <row r="316" spans="1:33" ht="13.5" customHeight="1">
      <c r="A316" s="73"/>
      <c r="B316" s="123"/>
      <c r="C316" s="123"/>
      <c r="D316" s="123"/>
      <c r="E316" s="123"/>
      <c r="F316" s="123"/>
      <c r="G316" s="130"/>
      <c r="H316" s="123"/>
      <c r="I316" s="129"/>
      <c r="J316" s="129"/>
      <c r="K316" s="129"/>
      <c r="L316" s="129"/>
      <c r="M316" s="123"/>
      <c r="N316" s="123"/>
      <c r="O316" s="123"/>
      <c r="P316" s="123"/>
      <c r="Q316" s="123"/>
      <c r="R316" s="123"/>
      <c r="S316" s="123"/>
      <c r="T316" s="123"/>
      <c r="U316" s="123"/>
      <c r="V316" s="123"/>
      <c r="W316" s="74"/>
      <c r="X316" s="73"/>
      <c r="Y316" s="73"/>
      <c r="Z316" s="73"/>
      <c r="AA316" s="73"/>
      <c r="AB316" s="73"/>
      <c r="AC316" s="73"/>
      <c r="AD316" s="73"/>
      <c r="AE316" s="73"/>
      <c r="AF316" s="73"/>
      <c r="AG316" s="75"/>
    </row>
    <row r="317" spans="1:33" ht="13.5" customHeight="1">
      <c r="A317" s="73"/>
      <c r="B317" s="123"/>
      <c r="C317" s="123"/>
      <c r="D317" s="123"/>
      <c r="E317" s="123"/>
      <c r="F317" s="123"/>
      <c r="G317" s="130"/>
      <c r="H317" s="123"/>
      <c r="I317" s="129"/>
      <c r="J317" s="129"/>
      <c r="K317" s="129"/>
      <c r="L317" s="129"/>
      <c r="M317" s="123"/>
      <c r="N317" s="123"/>
      <c r="O317" s="123"/>
      <c r="P317" s="123"/>
      <c r="Q317" s="123"/>
      <c r="R317" s="123"/>
      <c r="S317" s="123"/>
      <c r="T317" s="123"/>
      <c r="U317" s="123"/>
      <c r="V317" s="123"/>
      <c r="W317" s="74"/>
      <c r="X317" s="73"/>
      <c r="Y317" s="73"/>
      <c r="Z317" s="73"/>
      <c r="AA317" s="73"/>
      <c r="AB317" s="73"/>
      <c r="AC317" s="73"/>
      <c r="AD317" s="73"/>
      <c r="AE317" s="73"/>
      <c r="AF317" s="73"/>
      <c r="AG317" s="75"/>
    </row>
    <row r="318" spans="1:33" ht="13.5" customHeight="1">
      <c r="A318" s="73"/>
      <c r="B318" s="123"/>
      <c r="C318" s="123"/>
      <c r="D318" s="123"/>
      <c r="E318" s="123"/>
      <c r="F318" s="123"/>
      <c r="G318" s="130"/>
      <c r="H318" s="123"/>
      <c r="I318" s="129"/>
      <c r="J318" s="129"/>
      <c r="K318" s="129"/>
      <c r="L318" s="129"/>
      <c r="M318" s="123"/>
      <c r="N318" s="123"/>
      <c r="O318" s="123"/>
      <c r="P318" s="123"/>
      <c r="Q318" s="123"/>
      <c r="R318" s="123"/>
      <c r="S318" s="123"/>
      <c r="T318" s="123"/>
      <c r="U318" s="123"/>
      <c r="V318" s="123"/>
      <c r="W318" s="74"/>
      <c r="X318" s="73"/>
      <c r="Y318" s="73"/>
      <c r="Z318" s="73"/>
      <c r="AA318" s="73"/>
      <c r="AB318" s="73"/>
      <c r="AC318" s="73"/>
      <c r="AD318" s="73"/>
      <c r="AE318" s="73"/>
      <c r="AF318" s="73"/>
      <c r="AG318" s="75"/>
    </row>
    <row r="319" spans="1:33" ht="13.5" customHeight="1">
      <c r="A319" s="73"/>
      <c r="B319" s="123"/>
      <c r="C319" s="123"/>
      <c r="D319" s="123"/>
      <c r="E319" s="123"/>
      <c r="F319" s="123"/>
      <c r="G319" s="130"/>
      <c r="H319" s="123"/>
      <c r="I319" s="129"/>
      <c r="J319" s="129"/>
      <c r="K319" s="129"/>
      <c r="L319" s="129"/>
      <c r="M319" s="123"/>
      <c r="N319" s="123"/>
      <c r="O319" s="123"/>
      <c r="P319" s="123"/>
      <c r="Q319" s="123"/>
      <c r="R319" s="123"/>
      <c r="S319" s="123"/>
      <c r="T319" s="123"/>
      <c r="U319" s="123"/>
      <c r="V319" s="123"/>
      <c r="W319" s="74"/>
      <c r="X319" s="73"/>
      <c r="Y319" s="73"/>
      <c r="Z319" s="73"/>
      <c r="AA319" s="73"/>
      <c r="AB319" s="73"/>
      <c r="AC319" s="73"/>
      <c r="AD319" s="73"/>
      <c r="AE319" s="73"/>
      <c r="AF319" s="73"/>
      <c r="AG319" s="75"/>
    </row>
    <row r="320" spans="1:33" ht="13.5" customHeight="1">
      <c r="A320" s="73"/>
      <c r="B320" s="123"/>
      <c r="C320" s="123"/>
      <c r="D320" s="123"/>
      <c r="E320" s="123"/>
      <c r="F320" s="123"/>
      <c r="G320" s="130"/>
      <c r="H320" s="123"/>
      <c r="I320" s="129"/>
      <c r="J320" s="129"/>
      <c r="K320" s="129"/>
      <c r="L320" s="129"/>
      <c r="M320" s="123"/>
      <c r="N320" s="123"/>
      <c r="O320" s="123"/>
      <c r="P320" s="123"/>
      <c r="Q320" s="123"/>
      <c r="R320" s="123"/>
      <c r="S320" s="123"/>
      <c r="T320" s="123"/>
      <c r="U320" s="123"/>
      <c r="V320" s="123"/>
      <c r="W320" s="74"/>
      <c r="X320" s="73"/>
      <c r="Y320" s="73"/>
      <c r="Z320" s="73"/>
      <c r="AA320" s="73"/>
      <c r="AB320" s="73"/>
      <c r="AC320" s="73"/>
      <c r="AD320" s="73"/>
      <c r="AE320" s="73"/>
      <c r="AF320" s="73"/>
      <c r="AG320" s="75"/>
    </row>
    <row r="321" spans="1:33" ht="13.5" customHeight="1">
      <c r="A321" s="73"/>
      <c r="B321" s="123"/>
      <c r="C321" s="123"/>
      <c r="D321" s="123"/>
      <c r="E321" s="123"/>
      <c r="F321" s="123"/>
      <c r="G321" s="130"/>
      <c r="H321" s="123"/>
      <c r="I321" s="129"/>
      <c r="J321" s="129"/>
      <c r="K321" s="129"/>
      <c r="L321" s="129"/>
      <c r="M321" s="123"/>
      <c r="N321" s="123"/>
      <c r="O321" s="123"/>
      <c r="P321" s="123"/>
      <c r="Q321" s="123"/>
      <c r="R321" s="123"/>
      <c r="S321" s="123"/>
      <c r="T321" s="123"/>
      <c r="U321" s="123"/>
      <c r="V321" s="123"/>
      <c r="W321" s="74"/>
      <c r="X321" s="73"/>
      <c r="Y321" s="73"/>
      <c r="Z321" s="73"/>
      <c r="AA321" s="73"/>
      <c r="AB321" s="73"/>
      <c r="AC321" s="73"/>
      <c r="AD321" s="73"/>
      <c r="AE321" s="73"/>
      <c r="AF321" s="73"/>
      <c r="AG321" s="75"/>
    </row>
    <row r="322" spans="1:33" ht="13.5" customHeight="1">
      <c r="A322" s="73"/>
      <c r="B322" s="123"/>
      <c r="C322" s="123"/>
      <c r="D322" s="123"/>
      <c r="E322" s="123"/>
      <c r="F322" s="123"/>
      <c r="G322" s="130"/>
      <c r="H322" s="123"/>
      <c r="I322" s="129"/>
      <c r="J322" s="129"/>
      <c r="K322" s="129"/>
      <c r="L322" s="129"/>
      <c r="M322" s="123"/>
      <c r="N322" s="123"/>
      <c r="O322" s="123"/>
      <c r="P322" s="123"/>
      <c r="Q322" s="123"/>
      <c r="R322" s="123"/>
      <c r="S322" s="123"/>
      <c r="T322" s="123"/>
      <c r="U322" s="123"/>
      <c r="V322" s="123"/>
      <c r="W322" s="74"/>
      <c r="X322" s="73"/>
      <c r="Y322" s="73"/>
      <c r="Z322" s="73"/>
      <c r="AA322" s="73"/>
      <c r="AB322" s="73"/>
      <c r="AC322" s="73"/>
      <c r="AD322" s="73"/>
      <c r="AE322" s="73"/>
      <c r="AF322" s="73"/>
      <c r="AG322" s="75"/>
    </row>
    <row r="323" spans="1:33" ht="13.5" customHeight="1">
      <c r="A323" s="73"/>
      <c r="B323" s="123"/>
      <c r="C323" s="123"/>
      <c r="D323" s="123"/>
      <c r="E323" s="123"/>
      <c r="F323" s="123"/>
      <c r="G323" s="130"/>
      <c r="H323" s="123"/>
      <c r="I323" s="129"/>
      <c r="J323" s="129"/>
      <c r="K323" s="129"/>
      <c r="L323" s="129"/>
      <c r="M323" s="123"/>
      <c r="N323" s="123"/>
      <c r="O323" s="123"/>
      <c r="P323" s="123"/>
      <c r="Q323" s="123"/>
      <c r="R323" s="123"/>
      <c r="S323" s="123"/>
      <c r="T323" s="123"/>
      <c r="U323" s="123"/>
      <c r="V323" s="123"/>
      <c r="W323" s="74"/>
      <c r="X323" s="73"/>
      <c r="Y323" s="73"/>
      <c r="Z323" s="73"/>
      <c r="AA323" s="73"/>
      <c r="AB323" s="73"/>
      <c r="AC323" s="73"/>
      <c r="AD323" s="73"/>
      <c r="AE323" s="73"/>
      <c r="AF323" s="73"/>
      <c r="AG323" s="75"/>
    </row>
    <row r="324" spans="1:33" ht="13.5" customHeight="1">
      <c r="A324" s="73"/>
      <c r="B324" s="123"/>
      <c r="C324" s="123"/>
      <c r="D324" s="123"/>
      <c r="E324" s="123"/>
      <c r="F324" s="123"/>
      <c r="G324" s="130"/>
      <c r="H324" s="123"/>
      <c r="I324" s="129"/>
      <c r="J324" s="129"/>
      <c r="K324" s="129"/>
      <c r="L324" s="129"/>
      <c r="M324" s="123"/>
      <c r="N324" s="123"/>
      <c r="O324" s="123"/>
      <c r="P324" s="123"/>
      <c r="Q324" s="123"/>
      <c r="R324" s="123"/>
      <c r="S324" s="123"/>
      <c r="T324" s="123"/>
      <c r="U324" s="123"/>
      <c r="V324" s="123"/>
      <c r="W324" s="74"/>
      <c r="X324" s="73"/>
      <c r="Y324" s="73"/>
      <c r="Z324" s="73"/>
      <c r="AA324" s="73"/>
      <c r="AB324" s="73"/>
      <c r="AC324" s="73"/>
      <c r="AD324" s="73"/>
      <c r="AE324" s="73"/>
      <c r="AF324" s="73"/>
      <c r="AG324" s="75"/>
    </row>
    <row r="325" spans="1:33" ht="13.5" customHeight="1">
      <c r="A325" s="73"/>
      <c r="B325" s="123"/>
      <c r="C325" s="123"/>
      <c r="D325" s="123"/>
      <c r="E325" s="123"/>
      <c r="F325" s="123"/>
      <c r="G325" s="130"/>
      <c r="H325" s="123"/>
      <c r="I325" s="129"/>
      <c r="J325" s="129"/>
      <c r="K325" s="129"/>
      <c r="L325" s="129"/>
      <c r="M325" s="123"/>
      <c r="N325" s="123"/>
      <c r="O325" s="123"/>
      <c r="P325" s="123"/>
      <c r="Q325" s="123"/>
      <c r="R325" s="123"/>
      <c r="S325" s="123"/>
      <c r="T325" s="123"/>
      <c r="U325" s="123"/>
      <c r="V325" s="123"/>
      <c r="W325" s="74"/>
      <c r="X325" s="73"/>
      <c r="Y325" s="73"/>
      <c r="Z325" s="73"/>
      <c r="AA325" s="73"/>
      <c r="AB325" s="73"/>
      <c r="AC325" s="73"/>
      <c r="AD325" s="73"/>
      <c r="AE325" s="73"/>
      <c r="AF325" s="73"/>
      <c r="AG325" s="75"/>
    </row>
    <row r="326" spans="1:33" ht="13.5" customHeight="1">
      <c r="A326" s="73"/>
      <c r="B326" s="123"/>
      <c r="C326" s="123"/>
      <c r="D326" s="123"/>
      <c r="E326" s="123"/>
      <c r="F326" s="123"/>
      <c r="G326" s="130"/>
      <c r="H326" s="123"/>
      <c r="I326" s="129"/>
      <c r="J326" s="129"/>
      <c r="K326" s="129"/>
      <c r="L326" s="129"/>
      <c r="M326" s="123"/>
      <c r="N326" s="123"/>
      <c r="O326" s="123"/>
      <c r="P326" s="123"/>
      <c r="Q326" s="123"/>
      <c r="R326" s="123"/>
      <c r="S326" s="123"/>
      <c r="T326" s="123"/>
      <c r="U326" s="123"/>
      <c r="V326" s="123"/>
      <c r="W326" s="74"/>
      <c r="X326" s="73"/>
      <c r="Y326" s="73"/>
      <c r="Z326" s="73"/>
      <c r="AA326" s="73"/>
      <c r="AB326" s="73"/>
      <c r="AC326" s="73"/>
      <c r="AD326" s="73"/>
      <c r="AE326" s="73"/>
      <c r="AF326" s="73"/>
      <c r="AG326" s="75"/>
    </row>
    <row r="327" spans="1:33" ht="13.5" customHeight="1">
      <c r="A327" s="73"/>
      <c r="B327" s="123"/>
      <c r="C327" s="123"/>
      <c r="D327" s="123"/>
      <c r="E327" s="123"/>
      <c r="F327" s="123"/>
      <c r="G327" s="130"/>
      <c r="H327" s="123"/>
      <c r="I327" s="129"/>
      <c r="J327" s="129"/>
      <c r="K327" s="129"/>
      <c r="L327" s="129"/>
      <c r="M327" s="123"/>
      <c r="N327" s="123"/>
      <c r="O327" s="123"/>
      <c r="P327" s="123"/>
      <c r="Q327" s="123"/>
      <c r="R327" s="123"/>
      <c r="S327" s="123"/>
      <c r="T327" s="123"/>
      <c r="U327" s="123"/>
      <c r="V327" s="123"/>
      <c r="W327" s="74"/>
      <c r="X327" s="73"/>
      <c r="Y327" s="73"/>
      <c r="Z327" s="73"/>
      <c r="AA327" s="73"/>
      <c r="AB327" s="73"/>
      <c r="AC327" s="73"/>
      <c r="AD327" s="73"/>
      <c r="AE327" s="73"/>
      <c r="AF327" s="73"/>
      <c r="AG327" s="75"/>
    </row>
    <row r="328" spans="1:33" ht="13.5" customHeight="1">
      <c r="A328" s="73"/>
      <c r="B328" s="123"/>
      <c r="C328" s="123"/>
      <c r="D328" s="123"/>
      <c r="E328" s="123"/>
      <c r="F328" s="123"/>
      <c r="G328" s="130"/>
      <c r="H328" s="123"/>
      <c r="I328" s="129"/>
      <c r="J328" s="129"/>
      <c r="K328" s="129"/>
      <c r="L328" s="129"/>
      <c r="M328" s="123"/>
      <c r="N328" s="123"/>
      <c r="O328" s="123"/>
      <c r="P328" s="123"/>
      <c r="Q328" s="123"/>
      <c r="R328" s="123"/>
      <c r="S328" s="123"/>
      <c r="T328" s="123"/>
      <c r="U328" s="123"/>
      <c r="V328" s="123"/>
      <c r="W328" s="74"/>
      <c r="X328" s="73"/>
      <c r="Y328" s="73"/>
      <c r="Z328" s="73"/>
      <c r="AA328" s="73"/>
      <c r="AB328" s="73"/>
      <c r="AC328" s="73"/>
      <c r="AD328" s="73"/>
      <c r="AE328" s="73"/>
      <c r="AF328" s="73"/>
      <c r="AG328" s="75"/>
    </row>
    <row r="329" spans="1:33" ht="13.5" customHeight="1">
      <c r="A329" s="73"/>
      <c r="B329" s="123"/>
      <c r="C329" s="123"/>
      <c r="D329" s="123"/>
      <c r="E329" s="123"/>
      <c r="F329" s="123"/>
      <c r="G329" s="130"/>
      <c r="H329" s="123"/>
      <c r="I329" s="129"/>
      <c r="J329" s="129"/>
      <c r="K329" s="129"/>
      <c r="L329" s="129"/>
      <c r="M329" s="123"/>
      <c r="N329" s="123"/>
      <c r="O329" s="123"/>
      <c r="P329" s="123"/>
      <c r="Q329" s="123"/>
      <c r="R329" s="123"/>
      <c r="S329" s="123"/>
      <c r="T329" s="123"/>
      <c r="U329" s="123"/>
      <c r="V329" s="123"/>
      <c r="W329" s="74"/>
      <c r="X329" s="73"/>
      <c r="Y329" s="73"/>
      <c r="Z329" s="73"/>
      <c r="AA329" s="73"/>
      <c r="AB329" s="73"/>
      <c r="AC329" s="73"/>
      <c r="AD329" s="73"/>
      <c r="AE329" s="73"/>
      <c r="AF329" s="73"/>
      <c r="AG329" s="75"/>
    </row>
    <row r="330" spans="1:33" ht="13.5" customHeight="1">
      <c r="A330" s="73"/>
      <c r="B330" s="123"/>
      <c r="C330" s="123"/>
      <c r="D330" s="123"/>
      <c r="E330" s="123"/>
      <c r="F330" s="123"/>
      <c r="G330" s="130"/>
      <c r="H330" s="123"/>
      <c r="I330" s="129"/>
      <c r="J330" s="129"/>
      <c r="K330" s="129"/>
      <c r="L330" s="129"/>
      <c r="M330" s="123"/>
      <c r="N330" s="123"/>
      <c r="O330" s="123"/>
      <c r="P330" s="123"/>
      <c r="Q330" s="123"/>
      <c r="R330" s="123"/>
      <c r="S330" s="123"/>
      <c r="T330" s="123"/>
      <c r="U330" s="123"/>
      <c r="V330" s="123"/>
      <c r="W330" s="74"/>
      <c r="X330" s="73"/>
      <c r="Y330" s="73"/>
      <c r="Z330" s="73"/>
      <c r="AA330" s="73"/>
      <c r="AB330" s="73"/>
      <c r="AC330" s="73"/>
      <c r="AD330" s="73"/>
      <c r="AE330" s="73"/>
      <c r="AF330" s="73"/>
      <c r="AG330" s="75"/>
    </row>
    <row r="331" spans="1:33" ht="13.5" customHeight="1">
      <c r="A331" s="73"/>
      <c r="B331" s="123"/>
      <c r="C331" s="123"/>
      <c r="D331" s="123"/>
      <c r="E331" s="123"/>
      <c r="F331" s="123"/>
      <c r="G331" s="130"/>
      <c r="H331" s="123"/>
      <c r="I331" s="129"/>
      <c r="J331" s="129"/>
      <c r="K331" s="129"/>
      <c r="L331" s="129"/>
      <c r="M331" s="123"/>
      <c r="N331" s="123"/>
      <c r="O331" s="123"/>
      <c r="P331" s="123"/>
      <c r="Q331" s="123"/>
      <c r="R331" s="123"/>
      <c r="S331" s="123"/>
      <c r="T331" s="123"/>
      <c r="U331" s="123"/>
      <c r="V331" s="123"/>
      <c r="W331" s="74"/>
      <c r="X331" s="73"/>
      <c r="Y331" s="73"/>
      <c r="Z331" s="73"/>
      <c r="AA331" s="73"/>
      <c r="AB331" s="73"/>
      <c r="AC331" s="73"/>
      <c r="AD331" s="73"/>
      <c r="AE331" s="73"/>
      <c r="AF331" s="73"/>
      <c r="AG331" s="75"/>
    </row>
    <row r="332" spans="1:33" ht="13.5" customHeight="1">
      <c r="A332" s="73"/>
      <c r="B332" s="123"/>
      <c r="C332" s="123"/>
      <c r="D332" s="123"/>
      <c r="E332" s="123"/>
      <c r="F332" s="123"/>
      <c r="G332" s="130"/>
      <c r="H332" s="123"/>
      <c r="I332" s="129"/>
      <c r="J332" s="129"/>
      <c r="K332" s="129"/>
      <c r="L332" s="129"/>
      <c r="M332" s="123"/>
      <c r="N332" s="123"/>
      <c r="O332" s="123"/>
      <c r="P332" s="123"/>
      <c r="Q332" s="123"/>
      <c r="R332" s="123"/>
      <c r="S332" s="123"/>
      <c r="T332" s="123"/>
      <c r="U332" s="123"/>
      <c r="V332" s="123"/>
      <c r="W332" s="74"/>
      <c r="X332" s="73"/>
      <c r="Y332" s="73"/>
      <c r="Z332" s="73"/>
      <c r="AA332" s="73"/>
      <c r="AB332" s="73"/>
      <c r="AC332" s="73"/>
      <c r="AD332" s="73"/>
      <c r="AE332" s="73"/>
      <c r="AF332" s="73"/>
      <c r="AG332" s="75"/>
    </row>
    <row r="333" spans="1:33" ht="13.5" customHeight="1">
      <c r="A333" s="73"/>
      <c r="B333" s="123"/>
      <c r="C333" s="123"/>
      <c r="D333" s="123"/>
      <c r="E333" s="123"/>
      <c r="F333" s="123"/>
      <c r="G333" s="130"/>
      <c r="H333" s="123"/>
      <c r="I333" s="129"/>
      <c r="J333" s="129"/>
      <c r="K333" s="129"/>
      <c r="L333" s="129"/>
      <c r="M333" s="123"/>
      <c r="N333" s="123"/>
      <c r="O333" s="123"/>
      <c r="P333" s="123"/>
      <c r="Q333" s="123"/>
      <c r="R333" s="123"/>
      <c r="S333" s="123"/>
      <c r="T333" s="123"/>
      <c r="U333" s="123"/>
      <c r="V333" s="123"/>
      <c r="W333" s="74"/>
      <c r="X333" s="73"/>
      <c r="Y333" s="73"/>
      <c r="Z333" s="73"/>
      <c r="AA333" s="73"/>
      <c r="AB333" s="73"/>
      <c r="AC333" s="73"/>
      <c r="AD333" s="73"/>
      <c r="AE333" s="73"/>
      <c r="AF333" s="73"/>
      <c r="AG333" s="75"/>
    </row>
    <row r="334" spans="1:33" ht="13.5" customHeight="1">
      <c r="A334" s="73"/>
      <c r="B334" s="123"/>
      <c r="C334" s="123"/>
      <c r="D334" s="123"/>
      <c r="E334" s="123"/>
      <c r="F334" s="123"/>
      <c r="G334" s="130"/>
      <c r="H334" s="123"/>
      <c r="I334" s="129"/>
      <c r="J334" s="129"/>
      <c r="K334" s="129"/>
      <c r="L334" s="129"/>
      <c r="M334" s="123"/>
      <c r="N334" s="123"/>
      <c r="O334" s="123"/>
      <c r="P334" s="123"/>
      <c r="Q334" s="123"/>
      <c r="R334" s="123"/>
      <c r="S334" s="123"/>
      <c r="T334" s="123"/>
      <c r="U334" s="123"/>
      <c r="V334" s="123"/>
      <c r="W334" s="74"/>
      <c r="X334" s="73"/>
      <c r="Y334" s="73"/>
      <c r="Z334" s="73"/>
      <c r="AA334" s="73"/>
      <c r="AB334" s="73"/>
      <c r="AC334" s="73"/>
      <c r="AD334" s="73"/>
      <c r="AE334" s="73"/>
      <c r="AF334" s="73"/>
      <c r="AG334" s="75"/>
    </row>
    <row r="335" spans="1:33" ht="13.5" customHeight="1">
      <c r="A335" s="73"/>
      <c r="B335" s="123"/>
      <c r="C335" s="123"/>
      <c r="D335" s="123"/>
      <c r="E335" s="123"/>
      <c r="F335" s="123"/>
      <c r="G335" s="130"/>
      <c r="H335" s="123"/>
      <c r="I335" s="129"/>
      <c r="J335" s="129"/>
      <c r="K335" s="129"/>
      <c r="L335" s="129"/>
      <c r="M335" s="123"/>
      <c r="N335" s="123"/>
      <c r="O335" s="123"/>
      <c r="P335" s="123"/>
      <c r="Q335" s="123"/>
      <c r="R335" s="123"/>
      <c r="S335" s="123"/>
      <c r="T335" s="123"/>
      <c r="U335" s="123"/>
      <c r="V335" s="123"/>
      <c r="W335" s="74"/>
      <c r="X335" s="73"/>
      <c r="Y335" s="73"/>
      <c r="Z335" s="73"/>
      <c r="AA335" s="73"/>
      <c r="AB335" s="73"/>
      <c r="AC335" s="73"/>
      <c r="AD335" s="73"/>
      <c r="AE335" s="73"/>
      <c r="AF335" s="73"/>
      <c r="AG335" s="75"/>
    </row>
    <row r="336" spans="1:33" ht="13.5" customHeight="1">
      <c r="A336" s="73"/>
      <c r="B336" s="123"/>
      <c r="C336" s="123"/>
      <c r="D336" s="123"/>
      <c r="E336" s="123"/>
      <c r="F336" s="123"/>
      <c r="G336" s="130"/>
      <c r="H336" s="123"/>
      <c r="I336" s="129"/>
      <c r="J336" s="129"/>
      <c r="K336" s="129"/>
      <c r="L336" s="129"/>
      <c r="M336" s="123"/>
      <c r="N336" s="123"/>
      <c r="O336" s="123"/>
      <c r="P336" s="123"/>
      <c r="Q336" s="123"/>
      <c r="R336" s="123"/>
      <c r="S336" s="123"/>
      <c r="T336" s="123"/>
      <c r="U336" s="123"/>
      <c r="V336" s="123"/>
      <c r="W336" s="74"/>
      <c r="X336" s="73"/>
      <c r="Y336" s="73"/>
      <c r="Z336" s="73"/>
      <c r="AA336" s="73"/>
      <c r="AB336" s="73"/>
      <c r="AC336" s="73"/>
      <c r="AD336" s="73"/>
      <c r="AE336" s="73"/>
      <c r="AF336" s="73"/>
      <c r="AG336" s="75"/>
    </row>
    <row r="337" spans="1:33" ht="13.5" customHeight="1">
      <c r="A337" s="73"/>
      <c r="B337" s="123"/>
      <c r="C337" s="123"/>
      <c r="D337" s="123"/>
      <c r="E337" s="123"/>
      <c r="F337" s="123"/>
      <c r="G337" s="130"/>
      <c r="H337" s="123"/>
      <c r="I337" s="129"/>
      <c r="J337" s="129"/>
      <c r="K337" s="129"/>
      <c r="L337" s="129"/>
      <c r="M337" s="123"/>
      <c r="N337" s="123"/>
      <c r="O337" s="123"/>
      <c r="P337" s="123"/>
      <c r="Q337" s="123"/>
      <c r="R337" s="123"/>
      <c r="S337" s="123"/>
      <c r="T337" s="123"/>
      <c r="U337" s="123"/>
      <c r="V337" s="123"/>
      <c r="W337" s="74"/>
      <c r="X337" s="73"/>
      <c r="Y337" s="73"/>
      <c r="Z337" s="73"/>
      <c r="AA337" s="73"/>
      <c r="AB337" s="73"/>
      <c r="AC337" s="73"/>
      <c r="AD337" s="73"/>
      <c r="AE337" s="73"/>
      <c r="AF337" s="73"/>
      <c r="AG337" s="75"/>
    </row>
    <row r="338" spans="1:33" ht="13.5" customHeight="1">
      <c r="A338" s="73"/>
      <c r="B338" s="123"/>
      <c r="C338" s="123"/>
      <c r="D338" s="123"/>
      <c r="E338" s="123"/>
      <c r="F338" s="123"/>
      <c r="G338" s="130"/>
      <c r="H338" s="123"/>
      <c r="I338" s="129"/>
      <c r="J338" s="129"/>
      <c r="K338" s="129"/>
      <c r="L338" s="129"/>
      <c r="M338" s="123"/>
      <c r="N338" s="123"/>
      <c r="O338" s="123"/>
      <c r="P338" s="123"/>
      <c r="Q338" s="123"/>
      <c r="R338" s="123"/>
      <c r="S338" s="123"/>
      <c r="T338" s="123"/>
      <c r="U338" s="123"/>
      <c r="V338" s="123"/>
      <c r="W338" s="74"/>
      <c r="X338" s="73"/>
      <c r="Y338" s="73"/>
      <c r="Z338" s="73"/>
      <c r="AA338" s="73"/>
      <c r="AB338" s="73"/>
      <c r="AC338" s="73"/>
      <c r="AD338" s="73"/>
      <c r="AE338" s="73"/>
      <c r="AF338" s="73"/>
      <c r="AG338" s="75"/>
    </row>
    <row r="339" spans="1:33" ht="13.5" customHeight="1">
      <c r="A339" s="73"/>
      <c r="B339" s="123"/>
      <c r="C339" s="123"/>
      <c r="D339" s="123"/>
      <c r="E339" s="123"/>
      <c r="F339" s="123"/>
      <c r="G339" s="130"/>
      <c r="H339" s="123"/>
      <c r="I339" s="129"/>
      <c r="J339" s="129"/>
      <c r="K339" s="129"/>
      <c r="L339" s="129"/>
      <c r="M339" s="123"/>
      <c r="N339" s="123"/>
      <c r="O339" s="123"/>
      <c r="P339" s="123"/>
      <c r="Q339" s="123"/>
      <c r="R339" s="123"/>
      <c r="S339" s="123"/>
      <c r="T339" s="123"/>
      <c r="U339" s="123"/>
      <c r="V339" s="123"/>
      <c r="W339" s="74"/>
      <c r="X339" s="73"/>
      <c r="Y339" s="73"/>
      <c r="Z339" s="73"/>
      <c r="AA339" s="73"/>
      <c r="AB339" s="73"/>
      <c r="AC339" s="73"/>
      <c r="AD339" s="73"/>
      <c r="AE339" s="73"/>
      <c r="AF339" s="73"/>
      <c r="AG339" s="75"/>
    </row>
    <row r="340" spans="1:33" ht="13.5" customHeight="1">
      <c r="A340" s="73"/>
      <c r="B340" s="123"/>
      <c r="C340" s="123"/>
      <c r="D340" s="123"/>
      <c r="E340" s="123"/>
      <c r="F340" s="123"/>
      <c r="G340" s="130"/>
      <c r="H340" s="123"/>
      <c r="I340" s="129"/>
      <c r="J340" s="129"/>
      <c r="K340" s="129"/>
      <c r="L340" s="129"/>
      <c r="M340" s="123"/>
      <c r="N340" s="123"/>
      <c r="O340" s="123"/>
      <c r="P340" s="123"/>
      <c r="Q340" s="123"/>
      <c r="R340" s="123"/>
      <c r="S340" s="123"/>
      <c r="T340" s="123"/>
      <c r="U340" s="123"/>
      <c r="V340" s="123"/>
      <c r="W340" s="74"/>
      <c r="X340" s="73"/>
      <c r="Y340" s="73"/>
      <c r="Z340" s="73"/>
      <c r="AA340" s="73"/>
      <c r="AB340" s="73"/>
      <c r="AC340" s="73"/>
      <c r="AD340" s="73"/>
      <c r="AE340" s="73"/>
      <c r="AF340" s="73"/>
      <c r="AG340" s="75"/>
    </row>
    <row r="341" spans="1:33" ht="13.5" customHeight="1">
      <c r="A341" s="73"/>
      <c r="B341" s="123"/>
      <c r="C341" s="123"/>
      <c r="D341" s="123"/>
      <c r="E341" s="123"/>
      <c r="F341" s="123"/>
      <c r="G341" s="130"/>
      <c r="H341" s="123"/>
      <c r="I341" s="129"/>
      <c r="J341" s="129"/>
      <c r="K341" s="129"/>
      <c r="L341" s="129"/>
      <c r="M341" s="123"/>
      <c r="N341" s="123"/>
      <c r="O341" s="123"/>
      <c r="P341" s="123"/>
      <c r="Q341" s="123"/>
      <c r="R341" s="123"/>
      <c r="S341" s="123"/>
      <c r="T341" s="123"/>
      <c r="U341" s="123"/>
      <c r="V341" s="123"/>
      <c r="W341" s="74"/>
      <c r="X341" s="73"/>
      <c r="Y341" s="73"/>
      <c r="Z341" s="73"/>
      <c r="AA341" s="73"/>
      <c r="AB341" s="73"/>
      <c r="AC341" s="73"/>
      <c r="AD341" s="73"/>
      <c r="AE341" s="73"/>
      <c r="AF341" s="73"/>
      <c r="AG341" s="75"/>
    </row>
    <row r="342" spans="1:33" ht="13.5" customHeight="1">
      <c r="A342" s="73"/>
      <c r="B342" s="123"/>
      <c r="C342" s="123"/>
      <c r="D342" s="123"/>
      <c r="E342" s="123"/>
      <c r="F342" s="123"/>
      <c r="G342" s="130"/>
      <c r="H342" s="123"/>
      <c r="I342" s="129"/>
      <c r="J342" s="129"/>
      <c r="K342" s="129"/>
      <c r="L342" s="129"/>
      <c r="M342" s="123"/>
      <c r="N342" s="123"/>
      <c r="O342" s="123"/>
      <c r="P342" s="123"/>
      <c r="Q342" s="123"/>
      <c r="R342" s="123"/>
      <c r="S342" s="123"/>
      <c r="T342" s="123"/>
      <c r="U342" s="123"/>
      <c r="V342" s="123"/>
      <c r="W342" s="74"/>
      <c r="X342" s="73"/>
      <c r="Y342" s="73"/>
      <c r="Z342" s="73"/>
      <c r="AA342" s="73"/>
      <c r="AB342" s="73"/>
      <c r="AC342" s="73"/>
      <c r="AD342" s="73"/>
      <c r="AE342" s="73"/>
      <c r="AF342" s="73"/>
      <c r="AG342" s="75"/>
    </row>
    <row r="343" spans="1:33" ht="13.5" customHeight="1">
      <c r="A343" s="73"/>
      <c r="B343" s="123"/>
      <c r="C343" s="123"/>
      <c r="D343" s="123"/>
      <c r="E343" s="123"/>
      <c r="F343" s="123"/>
      <c r="G343" s="130"/>
      <c r="H343" s="123"/>
      <c r="I343" s="129"/>
      <c r="J343" s="129"/>
      <c r="K343" s="129"/>
      <c r="L343" s="129"/>
      <c r="M343" s="123"/>
      <c r="N343" s="123"/>
      <c r="O343" s="123"/>
      <c r="P343" s="123"/>
      <c r="Q343" s="123"/>
      <c r="R343" s="123"/>
      <c r="S343" s="123"/>
      <c r="T343" s="123"/>
      <c r="U343" s="123"/>
      <c r="V343" s="123"/>
      <c r="W343" s="74"/>
      <c r="X343" s="73"/>
      <c r="Y343" s="73"/>
      <c r="Z343" s="73"/>
      <c r="AA343" s="73"/>
      <c r="AB343" s="73"/>
      <c r="AC343" s="73"/>
      <c r="AD343" s="73"/>
      <c r="AE343" s="73"/>
      <c r="AF343" s="73"/>
      <c r="AG343" s="75"/>
    </row>
    <row r="344" spans="1:33" ht="13.5" customHeight="1">
      <c r="A344" s="73"/>
      <c r="B344" s="123"/>
      <c r="C344" s="123"/>
      <c r="D344" s="123"/>
      <c r="E344" s="123"/>
      <c r="F344" s="123"/>
      <c r="G344" s="130"/>
      <c r="H344" s="123"/>
      <c r="I344" s="129"/>
      <c r="J344" s="129"/>
      <c r="K344" s="129"/>
      <c r="L344" s="129"/>
      <c r="M344" s="123"/>
      <c r="N344" s="123"/>
      <c r="O344" s="123"/>
      <c r="P344" s="123"/>
      <c r="Q344" s="123"/>
      <c r="R344" s="123"/>
      <c r="S344" s="123"/>
      <c r="T344" s="123"/>
      <c r="U344" s="123"/>
      <c r="V344" s="123"/>
      <c r="W344" s="74"/>
      <c r="X344" s="73"/>
      <c r="Y344" s="73"/>
      <c r="Z344" s="73"/>
      <c r="AA344" s="73"/>
      <c r="AB344" s="73"/>
      <c r="AC344" s="73"/>
      <c r="AD344" s="73"/>
      <c r="AE344" s="73"/>
      <c r="AF344" s="73"/>
      <c r="AG344" s="75"/>
    </row>
    <row r="345" spans="1:33" ht="13.5" customHeight="1">
      <c r="A345" s="73"/>
      <c r="B345" s="123"/>
      <c r="C345" s="123"/>
      <c r="D345" s="123"/>
      <c r="E345" s="123"/>
      <c r="F345" s="123"/>
      <c r="G345" s="130"/>
      <c r="H345" s="123"/>
      <c r="I345" s="129"/>
      <c r="J345" s="129"/>
      <c r="K345" s="129"/>
      <c r="L345" s="129"/>
      <c r="M345" s="123"/>
      <c r="N345" s="123"/>
      <c r="O345" s="123"/>
      <c r="P345" s="123"/>
      <c r="Q345" s="123"/>
      <c r="R345" s="123"/>
      <c r="S345" s="123"/>
      <c r="T345" s="123"/>
      <c r="U345" s="123"/>
      <c r="V345" s="123"/>
      <c r="W345" s="74"/>
      <c r="X345" s="73"/>
      <c r="Y345" s="73"/>
      <c r="Z345" s="73"/>
      <c r="AA345" s="73"/>
      <c r="AB345" s="73"/>
      <c r="AC345" s="73"/>
      <c r="AD345" s="73"/>
      <c r="AE345" s="73"/>
      <c r="AF345" s="73"/>
      <c r="AG345" s="75"/>
    </row>
    <row r="346" spans="1:33" ht="13.5" customHeight="1">
      <c r="A346" s="73"/>
      <c r="B346" s="123"/>
      <c r="C346" s="123"/>
      <c r="D346" s="123"/>
      <c r="E346" s="123"/>
      <c r="F346" s="123"/>
      <c r="G346" s="130"/>
      <c r="H346" s="123"/>
      <c r="I346" s="129"/>
      <c r="J346" s="129"/>
      <c r="K346" s="129"/>
      <c r="L346" s="129"/>
      <c r="M346" s="123"/>
      <c r="N346" s="123"/>
      <c r="O346" s="123"/>
      <c r="P346" s="123"/>
      <c r="Q346" s="123"/>
      <c r="R346" s="123"/>
      <c r="S346" s="123"/>
      <c r="T346" s="123"/>
      <c r="U346" s="123"/>
      <c r="V346" s="123"/>
      <c r="W346" s="74"/>
      <c r="X346" s="73"/>
      <c r="Y346" s="73"/>
      <c r="Z346" s="73"/>
      <c r="AA346" s="73"/>
      <c r="AB346" s="73"/>
      <c r="AC346" s="73"/>
      <c r="AD346" s="73"/>
      <c r="AE346" s="73"/>
      <c r="AF346" s="73"/>
      <c r="AG346" s="75"/>
    </row>
    <row r="347" spans="1:33" ht="13.5" customHeight="1">
      <c r="A347" s="73"/>
      <c r="B347" s="123"/>
      <c r="C347" s="123"/>
      <c r="D347" s="123"/>
      <c r="E347" s="123"/>
      <c r="F347" s="123"/>
      <c r="G347" s="130"/>
      <c r="H347" s="123"/>
      <c r="I347" s="129"/>
      <c r="J347" s="129"/>
      <c r="K347" s="129"/>
      <c r="L347" s="129"/>
      <c r="M347" s="123"/>
      <c r="N347" s="123"/>
      <c r="O347" s="123"/>
      <c r="P347" s="123"/>
      <c r="Q347" s="123"/>
      <c r="R347" s="123"/>
      <c r="S347" s="123"/>
      <c r="T347" s="123"/>
      <c r="U347" s="123"/>
      <c r="V347" s="123"/>
      <c r="W347" s="74"/>
      <c r="X347" s="73"/>
      <c r="Y347" s="73"/>
      <c r="Z347" s="73"/>
      <c r="AA347" s="73"/>
      <c r="AB347" s="73"/>
      <c r="AC347" s="73"/>
      <c r="AD347" s="73"/>
      <c r="AE347" s="73"/>
      <c r="AF347" s="73"/>
      <c r="AG347" s="75"/>
    </row>
    <row r="348" spans="1:33" ht="13.5" customHeight="1">
      <c r="A348" s="73"/>
      <c r="B348" s="123"/>
      <c r="C348" s="123"/>
      <c r="D348" s="123"/>
      <c r="E348" s="123"/>
      <c r="F348" s="123"/>
      <c r="G348" s="130"/>
      <c r="H348" s="123"/>
      <c r="I348" s="129"/>
      <c r="J348" s="129"/>
      <c r="K348" s="129"/>
      <c r="L348" s="129"/>
      <c r="M348" s="123"/>
      <c r="N348" s="123"/>
      <c r="O348" s="123"/>
      <c r="P348" s="123"/>
      <c r="Q348" s="123"/>
      <c r="R348" s="123"/>
      <c r="S348" s="123"/>
      <c r="T348" s="123"/>
      <c r="U348" s="123"/>
      <c r="V348" s="123"/>
      <c r="W348" s="74"/>
      <c r="X348" s="73"/>
      <c r="Y348" s="73"/>
      <c r="Z348" s="73"/>
      <c r="AA348" s="73"/>
      <c r="AB348" s="73"/>
      <c r="AC348" s="73"/>
      <c r="AD348" s="73"/>
      <c r="AE348" s="73"/>
      <c r="AF348" s="73"/>
      <c r="AG348" s="75"/>
    </row>
    <row r="349" spans="1:33" ht="13.5" customHeight="1">
      <c r="A349" s="73"/>
      <c r="B349" s="123"/>
      <c r="C349" s="123"/>
      <c r="D349" s="123"/>
      <c r="E349" s="123"/>
      <c r="F349" s="123"/>
      <c r="G349" s="130"/>
      <c r="H349" s="123"/>
      <c r="I349" s="129"/>
      <c r="J349" s="129"/>
      <c r="K349" s="129"/>
      <c r="L349" s="129"/>
      <c r="M349" s="123"/>
      <c r="N349" s="123"/>
      <c r="O349" s="123"/>
      <c r="P349" s="123"/>
      <c r="Q349" s="123"/>
      <c r="R349" s="123"/>
      <c r="S349" s="123"/>
      <c r="T349" s="123"/>
      <c r="U349" s="123"/>
      <c r="V349" s="123"/>
      <c r="W349" s="74"/>
      <c r="X349" s="73"/>
      <c r="Y349" s="73"/>
      <c r="Z349" s="73"/>
      <c r="AA349" s="73"/>
      <c r="AB349" s="73"/>
      <c r="AC349" s="73"/>
      <c r="AD349" s="73"/>
      <c r="AE349" s="73"/>
      <c r="AF349" s="73"/>
      <c r="AG349" s="75"/>
    </row>
    <row r="350" spans="1:33" ht="13.5" customHeight="1">
      <c r="A350" s="73"/>
      <c r="B350" s="123"/>
      <c r="C350" s="123"/>
      <c r="D350" s="123"/>
      <c r="E350" s="123"/>
      <c r="F350" s="123"/>
      <c r="G350" s="130"/>
      <c r="H350" s="123"/>
      <c r="I350" s="129"/>
      <c r="J350" s="129"/>
      <c r="K350" s="129"/>
      <c r="L350" s="129"/>
      <c r="M350" s="123"/>
      <c r="N350" s="123"/>
      <c r="O350" s="123"/>
      <c r="P350" s="123"/>
      <c r="Q350" s="123"/>
      <c r="R350" s="123"/>
      <c r="S350" s="123"/>
      <c r="T350" s="123"/>
      <c r="U350" s="123"/>
      <c r="V350" s="123"/>
      <c r="W350" s="74"/>
      <c r="X350" s="73"/>
      <c r="Y350" s="73"/>
      <c r="Z350" s="73"/>
      <c r="AA350" s="73"/>
      <c r="AB350" s="73"/>
      <c r="AC350" s="73"/>
      <c r="AD350" s="73"/>
      <c r="AE350" s="73"/>
      <c r="AF350" s="73"/>
      <c r="AG350" s="75"/>
    </row>
    <row r="351" spans="1:33" ht="15.75" customHeight="1">
      <c r="A351" s="75"/>
      <c r="B351" s="131"/>
      <c r="C351" s="131"/>
      <c r="D351" s="131"/>
      <c r="E351" s="131"/>
      <c r="F351" s="131"/>
      <c r="G351" s="131"/>
      <c r="H351" s="131"/>
      <c r="I351" s="131"/>
      <c r="J351" s="131"/>
      <c r="K351" s="131"/>
      <c r="L351" s="131"/>
      <c r="M351" s="131"/>
      <c r="N351" s="131"/>
      <c r="O351" s="131"/>
      <c r="P351" s="131"/>
      <c r="Q351" s="131"/>
      <c r="R351" s="131"/>
      <c r="S351" s="131"/>
      <c r="T351" s="131"/>
      <c r="U351" s="131"/>
      <c r="V351" s="131"/>
      <c r="W351" s="128"/>
      <c r="X351" s="75"/>
      <c r="Y351" s="75"/>
      <c r="Z351" s="75"/>
      <c r="AA351" s="75"/>
      <c r="AB351" s="75"/>
      <c r="AC351" s="75"/>
      <c r="AD351" s="75"/>
      <c r="AE351" s="75"/>
      <c r="AF351" s="75"/>
      <c r="AG351" s="75"/>
    </row>
    <row r="352" spans="1:33"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row>
    <row r="353" spans="1:3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row>
    <row r="354" spans="1:33" ht="15.75" customHeight="1">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c r="AD354" s="127"/>
      <c r="AE354" s="127"/>
      <c r="AF354" s="127"/>
      <c r="AG354" s="127"/>
    </row>
    <row r="355" spans="1:33" ht="15.75" customHeight="1">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c r="AD355" s="127"/>
      <c r="AE355" s="127"/>
      <c r="AF355" s="127"/>
      <c r="AG355" s="127"/>
    </row>
    <row r="356" spans="1:33" ht="15.75" customHeight="1">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c r="AD356" s="127"/>
      <c r="AE356" s="127"/>
      <c r="AF356" s="127"/>
      <c r="AG356" s="127"/>
    </row>
    <row r="357" spans="1:33" ht="15.75" customHeight="1">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c r="AD357" s="127"/>
      <c r="AE357" s="127"/>
      <c r="AF357" s="127"/>
      <c r="AG357" s="127"/>
    </row>
    <row r="358" spans="1:33" ht="15.75" customHeight="1">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c r="AD358" s="127"/>
      <c r="AE358" s="127"/>
      <c r="AF358" s="127"/>
      <c r="AG358" s="127"/>
    </row>
    <row r="359" spans="1:33" ht="15.75" customHeight="1">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c r="AD359" s="127"/>
      <c r="AE359" s="127"/>
      <c r="AF359" s="127"/>
      <c r="AG359" s="127"/>
    </row>
    <row r="360" spans="1:33" ht="15.75" customHeight="1">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c r="AD360" s="127"/>
      <c r="AE360" s="127"/>
      <c r="AF360" s="127"/>
      <c r="AG360" s="127"/>
    </row>
    <row r="361" spans="1:33" ht="15.75" customHeight="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c r="AD361" s="127"/>
      <c r="AE361" s="127"/>
      <c r="AF361" s="127"/>
      <c r="AG361" s="127"/>
    </row>
    <row r="362" spans="1:33" ht="15.75" customHeight="1">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c r="AD362" s="127"/>
      <c r="AE362" s="127"/>
      <c r="AF362" s="127"/>
      <c r="AG362" s="127"/>
    </row>
    <row r="363" spans="1:33" ht="15.75" customHeight="1">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c r="AD363" s="127"/>
      <c r="AE363" s="127"/>
      <c r="AF363" s="127"/>
      <c r="AG363" s="127"/>
    </row>
    <row r="364" spans="1:33" ht="15.75" customHeight="1">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c r="AD364" s="127"/>
      <c r="AE364" s="127"/>
      <c r="AF364" s="127"/>
      <c r="AG364" s="127"/>
    </row>
    <row r="365" spans="1:33" ht="15.75" customHeight="1">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c r="AD365" s="127"/>
      <c r="AE365" s="127"/>
      <c r="AF365" s="127"/>
      <c r="AG365" s="127"/>
    </row>
    <row r="366" spans="1:33" ht="15.75" customHeight="1">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c r="AD366" s="127"/>
      <c r="AE366" s="127"/>
      <c r="AF366" s="127"/>
      <c r="AG366" s="127"/>
    </row>
    <row r="367" spans="1:33" ht="15.75" customHeight="1">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c r="AD367" s="127"/>
      <c r="AE367" s="127"/>
      <c r="AF367" s="127"/>
      <c r="AG367" s="127"/>
    </row>
    <row r="368" spans="1:33" ht="15.75" customHeight="1">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c r="AD368" s="127"/>
      <c r="AE368" s="127"/>
      <c r="AF368" s="127"/>
      <c r="AG368" s="127"/>
    </row>
    <row r="369" spans="1:33" ht="15.75" customHeight="1">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c r="AD369" s="127"/>
      <c r="AE369" s="127"/>
      <c r="AF369" s="127"/>
      <c r="AG369" s="127"/>
    </row>
    <row r="370" spans="1:33" ht="15.75" customHeight="1">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c r="AD370" s="127"/>
      <c r="AE370" s="127"/>
      <c r="AF370" s="127"/>
      <c r="AG370" s="127"/>
    </row>
    <row r="371" spans="1:33" ht="15.75" customHeight="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c r="AD371" s="127"/>
      <c r="AE371" s="127"/>
      <c r="AF371" s="127"/>
      <c r="AG371" s="127"/>
    </row>
    <row r="372" spans="1:33" ht="15.75" customHeight="1">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c r="AD372" s="127"/>
      <c r="AE372" s="127"/>
      <c r="AF372" s="127"/>
      <c r="AG372" s="127"/>
    </row>
    <row r="373" spans="1:33" ht="15.75" customHeight="1">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c r="AD373" s="127"/>
      <c r="AE373" s="127"/>
      <c r="AF373" s="127"/>
      <c r="AG373" s="127"/>
    </row>
    <row r="374" spans="1:33" ht="15.75" customHeight="1">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c r="AD374" s="127"/>
      <c r="AE374" s="127"/>
      <c r="AF374" s="127"/>
      <c r="AG374" s="127"/>
    </row>
    <row r="375" spans="1:33" ht="15.75" customHeight="1">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c r="AD375" s="127"/>
      <c r="AE375" s="127"/>
      <c r="AF375" s="127"/>
      <c r="AG375" s="127"/>
    </row>
    <row r="376" spans="1:33" ht="15.75" customHeight="1">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c r="AD376" s="127"/>
      <c r="AE376" s="127"/>
      <c r="AF376" s="127"/>
      <c r="AG376" s="127"/>
    </row>
    <row r="377" spans="1:33" ht="15.75" customHeight="1">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c r="AD377" s="127"/>
      <c r="AE377" s="127"/>
      <c r="AF377" s="127"/>
      <c r="AG377" s="127"/>
    </row>
    <row r="378" spans="1:33" ht="15.75" customHeight="1">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c r="AD378" s="127"/>
      <c r="AE378" s="127"/>
      <c r="AF378" s="127"/>
      <c r="AG378" s="127"/>
    </row>
    <row r="379" spans="1:33" ht="15.75" customHeight="1">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c r="AD379" s="127"/>
      <c r="AE379" s="127"/>
      <c r="AF379" s="127"/>
      <c r="AG379" s="127"/>
    </row>
    <row r="380" spans="1:33" ht="15.75" customHeight="1">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c r="AD380" s="127"/>
      <c r="AE380" s="127"/>
      <c r="AF380" s="127"/>
      <c r="AG380" s="127"/>
    </row>
    <row r="381" spans="1:33" ht="15.75" customHeight="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c r="AD381" s="127"/>
      <c r="AE381" s="127"/>
      <c r="AF381" s="127"/>
      <c r="AG381" s="127"/>
    </row>
    <row r="382" spans="1:33" ht="15.75" customHeight="1">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c r="AD382" s="127"/>
      <c r="AE382" s="127"/>
      <c r="AF382" s="127"/>
      <c r="AG382" s="127"/>
    </row>
    <row r="383" spans="1:33" ht="15.75" customHeight="1">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c r="AD383" s="127"/>
      <c r="AE383" s="127"/>
      <c r="AF383" s="127"/>
      <c r="AG383" s="127"/>
    </row>
    <row r="384" spans="1:33" ht="15.75" customHeight="1">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c r="AD384" s="127"/>
      <c r="AE384" s="127"/>
      <c r="AF384" s="127"/>
      <c r="AG384" s="127"/>
    </row>
    <row r="385" spans="1:33" ht="15.75" customHeight="1">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c r="AD385" s="127"/>
      <c r="AE385" s="127"/>
      <c r="AF385" s="127"/>
      <c r="AG385" s="127"/>
    </row>
    <row r="386" spans="1:33" ht="15.75" customHeight="1">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c r="AD386" s="127"/>
      <c r="AE386" s="127"/>
      <c r="AF386" s="127"/>
      <c r="AG386" s="127"/>
    </row>
    <row r="387" spans="1:33" ht="15.75" customHeight="1">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row>
    <row r="388" spans="1:33" ht="15.75" customHeight="1">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c r="AD388" s="127"/>
      <c r="AE388" s="127"/>
      <c r="AF388" s="127"/>
      <c r="AG388" s="127"/>
    </row>
    <row r="389" spans="1:33" ht="15.75" customHeight="1">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c r="AD389" s="127"/>
      <c r="AE389" s="127"/>
      <c r="AF389" s="127"/>
      <c r="AG389" s="127"/>
    </row>
    <row r="390" spans="1:33" ht="15.75" customHeight="1">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c r="AD390" s="127"/>
      <c r="AE390" s="127"/>
      <c r="AF390" s="127"/>
      <c r="AG390" s="127"/>
    </row>
    <row r="391" spans="1:33" ht="15.75" customHeight="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c r="AD391" s="127"/>
      <c r="AE391" s="127"/>
      <c r="AF391" s="127"/>
      <c r="AG391" s="127"/>
    </row>
    <row r="392" spans="1:33" ht="15.75" customHeight="1">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c r="AD392" s="127"/>
      <c r="AE392" s="127"/>
      <c r="AF392" s="127"/>
      <c r="AG392" s="127"/>
    </row>
    <row r="393" spans="1:33" ht="15.75" customHeight="1">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c r="AD393" s="127"/>
      <c r="AE393" s="127"/>
      <c r="AF393" s="127"/>
      <c r="AG393" s="127"/>
    </row>
    <row r="394" spans="1:33" ht="15.75" customHeight="1">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c r="AD394" s="127"/>
      <c r="AE394" s="127"/>
      <c r="AF394" s="127"/>
      <c r="AG394" s="127"/>
    </row>
    <row r="395" spans="1:33" ht="15.75" customHeight="1">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c r="AD395" s="127"/>
      <c r="AE395" s="127"/>
      <c r="AF395" s="127"/>
      <c r="AG395" s="127"/>
    </row>
    <row r="396" spans="1:33" ht="15.75" customHeight="1">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c r="AD396" s="127"/>
      <c r="AE396" s="127"/>
      <c r="AF396" s="127"/>
      <c r="AG396" s="127"/>
    </row>
    <row r="397" spans="1:33" ht="15.75" customHeight="1">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c r="AD397" s="127"/>
      <c r="AE397" s="127"/>
      <c r="AF397" s="127"/>
      <c r="AG397" s="127"/>
    </row>
    <row r="398" spans="1:33" ht="15.75" customHeight="1">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c r="AD398" s="127"/>
      <c r="AE398" s="127"/>
      <c r="AF398" s="127"/>
      <c r="AG398" s="127"/>
    </row>
    <row r="399" spans="1:33" ht="15.75" customHeight="1">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c r="AD399" s="127"/>
      <c r="AE399" s="127"/>
      <c r="AF399" s="127"/>
      <c r="AG399" s="127"/>
    </row>
    <row r="400" spans="1:33" ht="15.75" customHeight="1">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c r="AD400" s="127"/>
      <c r="AE400" s="127"/>
      <c r="AF400" s="127"/>
      <c r="AG400" s="127"/>
    </row>
    <row r="401" spans="1:33" ht="15.75" customHeight="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c r="AD401" s="127"/>
      <c r="AE401" s="127"/>
      <c r="AF401" s="127"/>
      <c r="AG401" s="127"/>
    </row>
    <row r="402" spans="1:33" ht="15.75" customHeight="1">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c r="AD402" s="127"/>
      <c r="AE402" s="127"/>
      <c r="AF402" s="127"/>
      <c r="AG402" s="127"/>
    </row>
    <row r="403" spans="1:33" ht="15.75" customHeight="1">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c r="AD403" s="127"/>
      <c r="AE403" s="127"/>
      <c r="AF403" s="127"/>
      <c r="AG403" s="127"/>
    </row>
    <row r="404" spans="1:33" ht="15.75" customHeight="1">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c r="AD404" s="127"/>
      <c r="AE404" s="127"/>
      <c r="AF404" s="127"/>
      <c r="AG404" s="127"/>
    </row>
    <row r="405" spans="1:33" ht="15.75" customHeight="1">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c r="AD405" s="127"/>
      <c r="AE405" s="127"/>
      <c r="AF405" s="127"/>
      <c r="AG405" s="127"/>
    </row>
    <row r="406" spans="1:33" ht="15.75" customHeight="1">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c r="AD406" s="127"/>
      <c r="AE406" s="127"/>
      <c r="AF406" s="127"/>
      <c r="AG406" s="127"/>
    </row>
    <row r="407" spans="1:33" ht="15.75" customHeight="1">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c r="AD407" s="127"/>
      <c r="AE407" s="127"/>
      <c r="AF407" s="127"/>
      <c r="AG407" s="127"/>
    </row>
    <row r="408" spans="1:33" ht="15.75" customHeight="1">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c r="AD408" s="127"/>
      <c r="AE408" s="127"/>
      <c r="AF408" s="127"/>
      <c r="AG408" s="127"/>
    </row>
    <row r="409" spans="1:33" ht="15.75" customHeight="1">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c r="AD409" s="127"/>
      <c r="AE409" s="127"/>
      <c r="AF409" s="127"/>
      <c r="AG409" s="127"/>
    </row>
    <row r="410" spans="1:33" ht="15.75" customHeight="1">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c r="AD410" s="127"/>
      <c r="AE410" s="127"/>
      <c r="AF410" s="127"/>
      <c r="AG410" s="127"/>
    </row>
    <row r="411" spans="1:33" ht="15.75" customHeight="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c r="AD411" s="127"/>
      <c r="AE411" s="127"/>
      <c r="AF411" s="127"/>
      <c r="AG411" s="127"/>
    </row>
    <row r="412" spans="1:33" ht="15.75" customHeight="1">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c r="AD412" s="127"/>
      <c r="AE412" s="127"/>
      <c r="AF412" s="127"/>
      <c r="AG412" s="127"/>
    </row>
    <row r="413" spans="1:33" ht="15.75" customHeight="1">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c r="AD413" s="127"/>
      <c r="AE413" s="127"/>
      <c r="AF413" s="127"/>
      <c r="AG413" s="127"/>
    </row>
    <row r="414" spans="1:33" ht="15.75" customHeight="1">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c r="AD414" s="127"/>
      <c r="AE414" s="127"/>
      <c r="AF414" s="127"/>
      <c r="AG414" s="127"/>
    </row>
    <row r="415" spans="1:33" ht="15.75" customHeight="1">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c r="AD415" s="127"/>
      <c r="AE415" s="127"/>
      <c r="AF415" s="127"/>
      <c r="AG415" s="127"/>
    </row>
    <row r="416" spans="1:33" ht="15.75" customHeight="1">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c r="AD416" s="127"/>
      <c r="AE416" s="127"/>
      <c r="AF416" s="127"/>
      <c r="AG416" s="127"/>
    </row>
    <row r="417" spans="1:33" ht="15.75" customHeight="1">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c r="AD417" s="127"/>
      <c r="AE417" s="127"/>
      <c r="AF417" s="127"/>
      <c r="AG417" s="127"/>
    </row>
    <row r="418" spans="1:33" ht="15.75" customHeight="1">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c r="AD418" s="127"/>
      <c r="AE418" s="127"/>
      <c r="AF418" s="127"/>
      <c r="AG418" s="127"/>
    </row>
    <row r="419" spans="1:33" ht="15.75" customHeight="1">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c r="AD419" s="127"/>
      <c r="AE419" s="127"/>
      <c r="AF419" s="127"/>
      <c r="AG419" s="127"/>
    </row>
    <row r="420" spans="1:33" ht="15.75" customHeight="1">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c r="AD420" s="127"/>
      <c r="AE420" s="127"/>
      <c r="AF420" s="127"/>
      <c r="AG420" s="127"/>
    </row>
    <row r="421" spans="1:33" ht="15.75" customHeight="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c r="AD421" s="127"/>
      <c r="AE421" s="127"/>
      <c r="AF421" s="127"/>
      <c r="AG421" s="127"/>
    </row>
    <row r="422" spans="1:33" ht="15.75" customHeight="1">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c r="AD422" s="127"/>
      <c r="AE422" s="127"/>
      <c r="AF422" s="127"/>
      <c r="AG422" s="127"/>
    </row>
    <row r="423" spans="1:33" ht="15.75" customHeight="1">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c r="AD423" s="127"/>
      <c r="AE423" s="127"/>
      <c r="AF423" s="127"/>
      <c r="AG423" s="127"/>
    </row>
    <row r="424" spans="1:33" ht="15.75" customHeight="1">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c r="AD424" s="127"/>
      <c r="AE424" s="127"/>
      <c r="AF424" s="127"/>
      <c r="AG424" s="127"/>
    </row>
    <row r="425" spans="1:33" ht="15.75" customHeight="1">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c r="AD425" s="127"/>
      <c r="AE425" s="127"/>
      <c r="AF425" s="127"/>
      <c r="AG425" s="127"/>
    </row>
    <row r="426" spans="1:33" ht="15.75" customHeight="1">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c r="AD426" s="127"/>
      <c r="AE426" s="127"/>
      <c r="AF426" s="127"/>
      <c r="AG426" s="127"/>
    </row>
    <row r="427" spans="1:33" ht="15.75" customHeight="1">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c r="AD427" s="127"/>
      <c r="AE427" s="127"/>
      <c r="AF427" s="127"/>
      <c r="AG427" s="127"/>
    </row>
    <row r="428" spans="1:33" ht="15.75" customHeight="1">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c r="AD428" s="127"/>
      <c r="AE428" s="127"/>
      <c r="AF428" s="127"/>
      <c r="AG428" s="127"/>
    </row>
    <row r="429" spans="1:33" ht="15.75" customHeight="1">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c r="AD429" s="127"/>
      <c r="AE429" s="127"/>
      <c r="AF429" s="127"/>
      <c r="AG429" s="127"/>
    </row>
    <row r="430" spans="1:33" ht="15.75" customHeight="1">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row>
    <row r="431" spans="1:33" ht="15.75" customHeight="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c r="AD431" s="127"/>
      <c r="AE431" s="127"/>
      <c r="AF431" s="127"/>
      <c r="AG431" s="127"/>
    </row>
    <row r="432" spans="1:33" ht="15.75" customHeight="1">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c r="AD432" s="127"/>
      <c r="AE432" s="127"/>
      <c r="AF432" s="127"/>
      <c r="AG432" s="127"/>
    </row>
    <row r="433" spans="1:33" ht="15.75" customHeight="1">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c r="AD433" s="127"/>
      <c r="AE433" s="127"/>
      <c r="AF433" s="127"/>
      <c r="AG433" s="127"/>
    </row>
    <row r="434" spans="1:33" ht="15.75" customHeight="1">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c r="AD434" s="127"/>
      <c r="AE434" s="127"/>
      <c r="AF434" s="127"/>
      <c r="AG434" s="127"/>
    </row>
    <row r="435" spans="1:33" ht="15.75" customHeight="1">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c r="AD435" s="127"/>
      <c r="AE435" s="127"/>
      <c r="AF435" s="127"/>
      <c r="AG435" s="127"/>
    </row>
    <row r="436" spans="1:33" ht="15.75" customHeight="1">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c r="AD436" s="127"/>
      <c r="AE436" s="127"/>
      <c r="AF436" s="127"/>
      <c r="AG436" s="127"/>
    </row>
    <row r="437" spans="1:33" ht="15.75" customHeight="1">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c r="AD437" s="127"/>
      <c r="AE437" s="127"/>
      <c r="AF437" s="127"/>
      <c r="AG437" s="127"/>
    </row>
    <row r="438" spans="1:33" ht="15.75" customHeight="1">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c r="AD438" s="127"/>
      <c r="AE438" s="127"/>
      <c r="AF438" s="127"/>
      <c r="AG438" s="127"/>
    </row>
    <row r="439" spans="1:33" ht="15.75" customHeight="1">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c r="AD439" s="127"/>
      <c r="AE439" s="127"/>
      <c r="AF439" s="127"/>
      <c r="AG439" s="127"/>
    </row>
    <row r="440" spans="1:33" ht="15.75" customHeight="1">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c r="AD440" s="127"/>
      <c r="AE440" s="127"/>
      <c r="AF440" s="127"/>
      <c r="AG440" s="127"/>
    </row>
    <row r="441" spans="1:33" ht="15.75" customHeight="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c r="AD441" s="127"/>
      <c r="AE441" s="127"/>
      <c r="AF441" s="127"/>
      <c r="AG441" s="127"/>
    </row>
    <row r="442" spans="1:33" ht="15.75" customHeight="1">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c r="AD442" s="127"/>
      <c r="AE442" s="127"/>
      <c r="AF442" s="127"/>
      <c r="AG442" s="127"/>
    </row>
    <row r="443" spans="1:33" ht="15.75" customHeight="1">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c r="AD443" s="127"/>
      <c r="AE443" s="127"/>
      <c r="AF443" s="127"/>
      <c r="AG443" s="127"/>
    </row>
    <row r="444" spans="1:33" ht="15.75" customHeight="1">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c r="AD444" s="127"/>
      <c r="AE444" s="127"/>
      <c r="AF444" s="127"/>
      <c r="AG444" s="127"/>
    </row>
    <row r="445" spans="1:33" ht="15.75" customHeight="1">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c r="AD445" s="127"/>
      <c r="AE445" s="127"/>
      <c r="AF445" s="127"/>
      <c r="AG445" s="127"/>
    </row>
    <row r="446" spans="1:33" ht="15.75" customHeight="1">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c r="AD446" s="127"/>
      <c r="AE446" s="127"/>
      <c r="AF446" s="127"/>
      <c r="AG446" s="127"/>
    </row>
    <row r="447" spans="1:33" ht="15.75" customHeight="1">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c r="AD447" s="127"/>
      <c r="AE447" s="127"/>
      <c r="AF447" s="127"/>
      <c r="AG447" s="127"/>
    </row>
    <row r="448" spans="1:33" ht="15.75" customHeight="1">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c r="AD448" s="127"/>
      <c r="AE448" s="127"/>
      <c r="AF448" s="127"/>
      <c r="AG448" s="127"/>
    </row>
    <row r="449" spans="1:33" ht="15.75" customHeight="1">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c r="AD449" s="127"/>
      <c r="AE449" s="127"/>
      <c r="AF449" s="127"/>
      <c r="AG449" s="127"/>
    </row>
    <row r="450" spans="1:33" ht="15.75" customHeight="1">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c r="AD450" s="127"/>
      <c r="AE450" s="127"/>
      <c r="AF450" s="127"/>
      <c r="AG450" s="127"/>
    </row>
    <row r="451" spans="1:33" ht="15.75" customHeight="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c r="AD451" s="127"/>
      <c r="AE451" s="127"/>
      <c r="AF451" s="127"/>
      <c r="AG451" s="127"/>
    </row>
    <row r="452" spans="1:33" ht="15.75" customHeight="1">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c r="AD452" s="127"/>
      <c r="AE452" s="127"/>
      <c r="AF452" s="127"/>
      <c r="AG452" s="127"/>
    </row>
    <row r="453" spans="1:33" ht="15.75" customHeight="1">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c r="AD453" s="127"/>
      <c r="AE453" s="127"/>
      <c r="AF453" s="127"/>
      <c r="AG453" s="127"/>
    </row>
    <row r="454" spans="1:33" ht="15.75" customHeight="1">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c r="AD454" s="127"/>
      <c r="AE454" s="127"/>
      <c r="AF454" s="127"/>
      <c r="AG454" s="127"/>
    </row>
    <row r="455" spans="1:33" ht="15.75" customHeight="1">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c r="AD455" s="127"/>
      <c r="AE455" s="127"/>
      <c r="AF455" s="127"/>
      <c r="AG455" s="127"/>
    </row>
    <row r="456" spans="1:33" ht="15.75" customHeight="1">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c r="AD456" s="127"/>
      <c r="AE456" s="127"/>
      <c r="AF456" s="127"/>
      <c r="AG456" s="127"/>
    </row>
    <row r="457" spans="1:33" ht="15.75" customHeight="1">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c r="AD457" s="127"/>
      <c r="AE457" s="127"/>
      <c r="AF457" s="127"/>
      <c r="AG457" s="127"/>
    </row>
    <row r="458" spans="1:33" ht="15.75" customHeight="1">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c r="AD458" s="127"/>
      <c r="AE458" s="127"/>
      <c r="AF458" s="127"/>
      <c r="AG458" s="127"/>
    </row>
    <row r="459" spans="1:33" ht="15.75" customHeight="1">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c r="AD459" s="127"/>
      <c r="AE459" s="127"/>
      <c r="AF459" s="127"/>
      <c r="AG459" s="127"/>
    </row>
    <row r="460" spans="1:33" ht="15.75" customHeight="1">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c r="AD460" s="127"/>
      <c r="AE460" s="127"/>
      <c r="AF460" s="127"/>
      <c r="AG460" s="127"/>
    </row>
    <row r="461" spans="1:33" ht="15.75" customHeight="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c r="AD461" s="127"/>
      <c r="AE461" s="127"/>
      <c r="AF461" s="127"/>
      <c r="AG461" s="127"/>
    </row>
    <row r="462" spans="1:33" ht="15.75" customHeight="1">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c r="AD462" s="127"/>
      <c r="AE462" s="127"/>
      <c r="AF462" s="127"/>
      <c r="AG462" s="127"/>
    </row>
    <row r="463" spans="1:33" ht="15.75" customHeight="1">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c r="AD463" s="127"/>
      <c r="AE463" s="127"/>
      <c r="AF463" s="127"/>
      <c r="AG463" s="127"/>
    </row>
    <row r="464" spans="1:33" ht="15.75" customHeight="1">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c r="AD464" s="127"/>
      <c r="AE464" s="127"/>
      <c r="AF464" s="127"/>
      <c r="AG464" s="127"/>
    </row>
    <row r="465" spans="1:33" ht="15.75" customHeight="1">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c r="AD465" s="127"/>
      <c r="AE465" s="127"/>
      <c r="AF465" s="127"/>
      <c r="AG465" s="127"/>
    </row>
    <row r="466" spans="1:33" ht="15.75" customHeight="1">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c r="AD466" s="127"/>
      <c r="AE466" s="127"/>
      <c r="AF466" s="127"/>
      <c r="AG466" s="127"/>
    </row>
    <row r="467" spans="1:33" ht="15.75" customHeight="1">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c r="AD467" s="127"/>
      <c r="AE467" s="127"/>
      <c r="AF467" s="127"/>
      <c r="AG467" s="127"/>
    </row>
    <row r="468" spans="1:33" ht="15.75" customHeight="1">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c r="AD468" s="127"/>
      <c r="AE468" s="127"/>
      <c r="AF468" s="127"/>
      <c r="AG468" s="127"/>
    </row>
    <row r="469" spans="1:33" ht="15.75" customHeight="1">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c r="AD469" s="127"/>
      <c r="AE469" s="127"/>
      <c r="AF469" s="127"/>
      <c r="AG469" s="127"/>
    </row>
    <row r="470" spans="1:33" ht="15.75" customHeight="1">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c r="AD470" s="127"/>
      <c r="AE470" s="127"/>
      <c r="AF470" s="127"/>
      <c r="AG470" s="127"/>
    </row>
    <row r="471" spans="1:33" ht="15.75" customHeight="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c r="AD471" s="127"/>
      <c r="AE471" s="127"/>
      <c r="AF471" s="127"/>
      <c r="AG471" s="127"/>
    </row>
    <row r="472" spans="1:33" ht="15.75" customHeight="1">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c r="AD472" s="127"/>
      <c r="AE472" s="127"/>
      <c r="AF472" s="127"/>
      <c r="AG472" s="127"/>
    </row>
    <row r="473" spans="1:33" ht="15.75" customHeight="1">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row>
    <row r="474" spans="1:33" ht="15.75" customHeight="1">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c r="AD474" s="127"/>
      <c r="AE474" s="127"/>
      <c r="AF474" s="127"/>
      <c r="AG474" s="127"/>
    </row>
    <row r="475" spans="1:33" ht="15.75" customHeight="1">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c r="AD475" s="127"/>
      <c r="AE475" s="127"/>
      <c r="AF475" s="127"/>
      <c r="AG475" s="127"/>
    </row>
    <row r="476" spans="1:33" ht="15.75" customHeight="1">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c r="AD476" s="127"/>
      <c r="AE476" s="127"/>
      <c r="AF476" s="127"/>
      <c r="AG476" s="127"/>
    </row>
    <row r="477" spans="1:33" ht="15.75" customHeight="1">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c r="AD477" s="127"/>
      <c r="AE477" s="127"/>
      <c r="AF477" s="127"/>
      <c r="AG477" s="127"/>
    </row>
    <row r="478" spans="1:33" ht="15.75" customHeight="1">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c r="AD478" s="127"/>
      <c r="AE478" s="127"/>
      <c r="AF478" s="127"/>
      <c r="AG478" s="127"/>
    </row>
    <row r="479" spans="1:33" ht="15.75" customHeight="1">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c r="AD479" s="127"/>
      <c r="AE479" s="127"/>
      <c r="AF479" s="127"/>
      <c r="AG479" s="127"/>
    </row>
    <row r="480" spans="1:33" ht="15.75" customHeight="1">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c r="AD480" s="127"/>
      <c r="AE480" s="127"/>
      <c r="AF480" s="127"/>
      <c r="AG480" s="127"/>
    </row>
    <row r="481" spans="1:33" ht="15.75" customHeight="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c r="AD481" s="127"/>
      <c r="AE481" s="127"/>
      <c r="AF481" s="127"/>
      <c r="AG481" s="127"/>
    </row>
    <row r="482" spans="1:33" ht="15.75" customHeight="1">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c r="AD482" s="127"/>
      <c r="AE482" s="127"/>
      <c r="AF482" s="127"/>
      <c r="AG482" s="127"/>
    </row>
    <row r="483" spans="1:33" ht="15.75" customHeight="1">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c r="AD483" s="127"/>
      <c r="AE483" s="127"/>
      <c r="AF483" s="127"/>
      <c r="AG483" s="127"/>
    </row>
    <row r="484" spans="1:33" ht="15.75" customHeight="1">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c r="AD484" s="127"/>
      <c r="AE484" s="127"/>
      <c r="AF484" s="127"/>
      <c r="AG484" s="127"/>
    </row>
    <row r="485" spans="1:33" ht="15.75" customHeight="1">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c r="AD485" s="127"/>
      <c r="AE485" s="127"/>
      <c r="AF485" s="127"/>
      <c r="AG485" s="127"/>
    </row>
    <row r="486" spans="1:33" ht="15.75" customHeight="1">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c r="AD486" s="127"/>
      <c r="AE486" s="127"/>
      <c r="AF486" s="127"/>
      <c r="AG486" s="127"/>
    </row>
    <row r="487" spans="1:33" ht="15.75" customHeight="1">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c r="AD487" s="127"/>
      <c r="AE487" s="127"/>
      <c r="AF487" s="127"/>
      <c r="AG487" s="127"/>
    </row>
    <row r="488" spans="1:33" ht="15.75" customHeight="1">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c r="AD488" s="127"/>
      <c r="AE488" s="127"/>
      <c r="AF488" s="127"/>
      <c r="AG488" s="127"/>
    </row>
    <row r="489" spans="1:33" ht="15.75" customHeight="1">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c r="AD489" s="127"/>
      <c r="AE489" s="127"/>
      <c r="AF489" s="127"/>
      <c r="AG489" s="127"/>
    </row>
    <row r="490" spans="1:33" ht="15.75" customHeight="1">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c r="AD490" s="127"/>
      <c r="AE490" s="127"/>
      <c r="AF490" s="127"/>
      <c r="AG490" s="127"/>
    </row>
    <row r="491" spans="1:33" ht="15.75" customHeight="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c r="AD491" s="127"/>
      <c r="AE491" s="127"/>
      <c r="AF491" s="127"/>
      <c r="AG491" s="127"/>
    </row>
    <row r="492" spans="1:33" ht="15.75" customHeight="1">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c r="AD492" s="127"/>
      <c r="AE492" s="127"/>
      <c r="AF492" s="127"/>
      <c r="AG492" s="127"/>
    </row>
    <row r="493" spans="1:33" ht="15.75" customHeight="1">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c r="AD493" s="127"/>
      <c r="AE493" s="127"/>
      <c r="AF493" s="127"/>
      <c r="AG493" s="127"/>
    </row>
    <row r="494" spans="1:33" ht="15.75" customHeight="1">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c r="AD494" s="127"/>
      <c r="AE494" s="127"/>
      <c r="AF494" s="127"/>
      <c r="AG494" s="127"/>
    </row>
    <row r="495" spans="1:33" ht="15.75" customHeight="1">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c r="AD495" s="127"/>
      <c r="AE495" s="127"/>
      <c r="AF495" s="127"/>
      <c r="AG495" s="127"/>
    </row>
    <row r="496" spans="1:33" ht="15.75" customHeight="1">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c r="AD496" s="127"/>
      <c r="AE496" s="127"/>
      <c r="AF496" s="127"/>
      <c r="AG496" s="127"/>
    </row>
    <row r="497" spans="1:33" ht="15.75" customHeight="1">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c r="AD497" s="127"/>
      <c r="AE497" s="127"/>
      <c r="AF497" s="127"/>
      <c r="AG497" s="127"/>
    </row>
    <row r="498" spans="1:33" ht="15.75" customHeight="1">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c r="AD498" s="127"/>
      <c r="AE498" s="127"/>
      <c r="AF498" s="127"/>
      <c r="AG498" s="127"/>
    </row>
    <row r="499" spans="1:33" ht="15.75" customHeight="1">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c r="AD499" s="127"/>
      <c r="AE499" s="127"/>
      <c r="AF499" s="127"/>
      <c r="AG499" s="127"/>
    </row>
    <row r="500" spans="1:33" ht="15.75" customHeight="1">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c r="AD500" s="127"/>
      <c r="AE500" s="127"/>
      <c r="AF500" s="127"/>
      <c r="AG500" s="127"/>
    </row>
    <row r="501" spans="1:33" ht="15.75" customHeight="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c r="AD501" s="127"/>
      <c r="AE501" s="127"/>
      <c r="AF501" s="127"/>
      <c r="AG501" s="127"/>
    </row>
    <row r="502" spans="1:33" ht="15.75" customHeight="1">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c r="AD502" s="127"/>
      <c r="AE502" s="127"/>
      <c r="AF502" s="127"/>
      <c r="AG502" s="127"/>
    </row>
    <row r="503" spans="1:33" ht="15.75" customHeight="1">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c r="AD503" s="127"/>
      <c r="AE503" s="127"/>
      <c r="AF503" s="127"/>
      <c r="AG503" s="127"/>
    </row>
    <row r="504" spans="1:33" ht="15.75" customHeight="1">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c r="AD504" s="127"/>
      <c r="AE504" s="127"/>
      <c r="AF504" s="127"/>
      <c r="AG504" s="127"/>
    </row>
    <row r="505" spans="1:33" ht="15.75" customHeight="1">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c r="AD505" s="127"/>
      <c r="AE505" s="127"/>
      <c r="AF505" s="127"/>
      <c r="AG505" s="127"/>
    </row>
    <row r="506" spans="1:33" ht="15.75" customHeight="1">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c r="AD506" s="127"/>
      <c r="AE506" s="127"/>
      <c r="AF506" s="127"/>
      <c r="AG506" s="127"/>
    </row>
    <row r="507" spans="1:33" ht="15.75" customHeight="1">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c r="AD507" s="127"/>
      <c r="AE507" s="127"/>
      <c r="AF507" s="127"/>
      <c r="AG507" s="127"/>
    </row>
    <row r="508" spans="1:33" ht="15.75" customHeight="1">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c r="AD508" s="127"/>
      <c r="AE508" s="127"/>
      <c r="AF508" s="127"/>
      <c r="AG508" s="127"/>
    </row>
    <row r="509" spans="1:33" ht="15.75" customHeight="1">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c r="AD509" s="127"/>
      <c r="AE509" s="127"/>
      <c r="AF509" s="127"/>
      <c r="AG509" s="127"/>
    </row>
    <row r="510" spans="1:33" ht="15.75" customHeight="1">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c r="AD510" s="127"/>
      <c r="AE510" s="127"/>
      <c r="AF510" s="127"/>
      <c r="AG510" s="127"/>
    </row>
    <row r="511" spans="1:33" ht="15.75" customHeight="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c r="AD511" s="127"/>
      <c r="AE511" s="127"/>
      <c r="AF511" s="127"/>
      <c r="AG511" s="127"/>
    </row>
    <row r="512" spans="1:33" ht="15.75" customHeight="1">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c r="AD512" s="127"/>
      <c r="AE512" s="127"/>
      <c r="AF512" s="127"/>
      <c r="AG512" s="127"/>
    </row>
    <row r="513" spans="1:33" ht="15.75" customHeight="1">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c r="AD513" s="127"/>
      <c r="AE513" s="127"/>
      <c r="AF513" s="127"/>
      <c r="AG513" s="127"/>
    </row>
    <row r="514" spans="1:33" ht="15.75" customHeight="1">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c r="AD514" s="127"/>
      <c r="AE514" s="127"/>
      <c r="AF514" s="127"/>
      <c r="AG514" s="127"/>
    </row>
    <row r="515" spans="1:33" ht="15.75" customHeight="1">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c r="AD515" s="127"/>
      <c r="AE515" s="127"/>
      <c r="AF515" s="127"/>
      <c r="AG515" s="127"/>
    </row>
    <row r="516" spans="1:33" ht="15.75" customHeight="1">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row>
    <row r="517" spans="1:33" ht="15.75" customHeight="1">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c r="AD517" s="127"/>
      <c r="AE517" s="127"/>
      <c r="AF517" s="127"/>
      <c r="AG517" s="127"/>
    </row>
    <row r="518" spans="1:33" ht="15.75" customHeight="1">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c r="AD518" s="127"/>
      <c r="AE518" s="127"/>
      <c r="AF518" s="127"/>
      <c r="AG518" s="127"/>
    </row>
    <row r="519" spans="1:33" ht="15.75" customHeight="1">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c r="AD519" s="127"/>
      <c r="AE519" s="127"/>
      <c r="AF519" s="127"/>
      <c r="AG519" s="127"/>
    </row>
    <row r="520" spans="1:33" ht="15.75" customHeight="1">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c r="AD520" s="127"/>
      <c r="AE520" s="127"/>
      <c r="AF520" s="127"/>
      <c r="AG520" s="127"/>
    </row>
    <row r="521" spans="1:33" ht="15.75" customHeight="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c r="AD521" s="127"/>
      <c r="AE521" s="127"/>
      <c r="AF521" s="127"/>
      <c r="AG521" s="127"/>
    </row>
    <row r="522" spans="1:33" ht="15.75" customHeight="1">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c r="AD522" s="127"/>
      <c r="AE522" s="127"/>
      <c r="AF522" s="127"/>
      <c r="AG522" s="127"/>
    </row>
    <row r="523" spans="1:33" ht="15.75" customHeight="1">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c r="AD523" s="127"/>
      <c r="AE523" s="127"/>
      <c r="AF523" s="127"/>
      <c r="AG523" s="127"/>
    </row>
    <row r="524" spans="1:33" ht="15.75" customHeight="1">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c r="AD524" s="127"/>
      <c r="AE524" s="127"/>
      <c r="AF524" s="127"/>
      <c r="AG524" s="127"/>
    </row>
    <row r="525" spans="1:33" ht="15.75" customHeight="1">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c r="AD525" s="127"/>
      <c r="AE525" s="127"/>
      <c r="AF525" s="127"/>
      <c r="AG525" s="127"/>
    </row>
    <row r="526" spans="1:33" ht="15.75" customHeight="1">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c r="AD526" s="127"/>
      <c r="AE526" s="127"/>
      <c r="AF526" s="127"/>
      <c r="AG526" s="127"/>
    </row>
    <row r="527" spans="1:33" ht="15.75" customHeight="1">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c r="AD527" s="127"/>
      <c r="AE527" s="127"/>
      <c r="AF527" s="127"/>
      <c r="AG527" s="127"/>
    </row>
    <row r="528" spans="1:33" ht="15.75" customHeight="1">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c r="AD528" s="127"/>
      <c r="AE528" s="127"/>
      <c r="AF528" s="127"/>
      <c r="AG528" s="127"/>
    </row>
    <row r="529" spans="1:33" ht="15.75" customHeight="1">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c r="AD529" s="127"/>
      <c r="AE529" s="127"/>
      <c r="AF529" s="127"/>
      <c r="AG529" s="127"/>
    </row>
    <row r="530" spans="1:33" ht="15.75" customHeight="1">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c r="AD530" s="127"/>
      <c r="AE530" s="127"/>
      <c r="AF530" s="127"/>
      <c r="AG530" s="127"/>
    </row>
    <row r="531" spans="1:33" ht="15.75" customHeight="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c r="AD531" s="127"/>
      <c r="AE531" s="127"/>
      <c r="AF531" s="127"/>
      <c r="AG531" s="127"/>
    </row>
    <row r="532" spans="1:33" ht="15.75" customHeight="1">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c r="AD532" s="127"/>
      <c r="AE532" s="127"/>
      <c r="AF532" s="127"/>
      <c r="AG532" s="127"/>
    </row>
    <row r="533" spans="1:33" ht="15.75" customHeight="1">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c r="AD533" s="127"/>
      <c r="AE533" s="127"/>
      <c r="AF533" s="127"/>
      <c r="AG533" s="127"/>
    </row>
    <row r="534" spans="1:33" ht="15.75" customHeight="1">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c r="AD534" s="127"/>
      <c r="AE534" s="127"/>
      <c r="AF534" s="127"/>
      <c r="AG534" s="127"/>
    </row>
    <row r="535" spans="1:33" ht="15.75" customHeight="1">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c r="AD535" s="127"/>
      <c r="AE535" s="127"/>
      <c r="AF535" s="127"/>
      <c r="AG535" s="127"/>
    </row>
    <row r="536" spans="1:33" ht="15.75" customHeight="1">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c r="AD536" s="127"/>
      <c r="AE536" s="127"/>
      <c r="AF536" s="127"/>
      <c r="AG536" s="127"/>
    </row>
    <row r="537" spans="1:33" ht="15.75" customHeight="1">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c r="AD537" s="127"/>
      <c r="AE537" s="127"/>
      <c r="AF537" s="127"/>
      <c r="AG537" s="127"/>
    </row>
    <row r="538" spans="1:33" ht="15.75" customHeight="1">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c r="AD538" s="127"/>
      <c r="AE538" s="127"/>
      <c r="AF538" s="127"/>
      <c r="AG538" s="127"/>
    </row>
    <row r="539" spans="1:33" ht="15.75" customHeight="1">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c r="AD539" s="127"/>
      <c r="AE539" s="127"/>
      <c r="AF539" s="127"/>
      <c r="AG539" s="127"/>
    </row>
    <row r="540" spans="1:33" ht="15.75" customHeight="1">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c r="AD540" s="127"/>
      <c r="AE540" s="127"/>
      <c r="AF540" s="127"/>
      <c r="AG540" s="127"/>
    </row>
    <row r="541" spans="1:33" ht="15.75" customHeight="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c r="AD541" s="127"/>
      <c r="AE541" s="127"/>
      <c r="AF541" s="127"/>
      <c r="AG541" s="127"/>
    </row>
    <row r="542" spans="1:33" ht="15.75" customHeight="1">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c r="AD542" s="127"/>
      <c r="AE542" s="127"/>
      <c r="AF542" s="127"/>
      <c r="AG542" s="127"/>
    </row>
    <row r="543" spans="1:33" ht="15.75" customHeight="1">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c r="AD543" s="127"/>
      <c r="AE543" s="127"/>
      <c r="AF543" s="127"/>
      <c r="AG543" s="127"/>
    </row>
    <row r="544" spans="1:33" ht="15.75" customHeight="1">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c r="AD544" s="127"/>
      <c r="AE544" s="127"/>
      <c r="AF544" s="127"/>
      <c r="AG544" s="127"/>
    </row>
    <row r="545" spans="1:33" ht="15.75" customHeight="1">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c r="AD545" s="127"/>
      <c r="AE545" s="127"/>
      <c r="AF545" s="127"/>
      <c r="AG545" s="127"/>
    </row>
    <row r="546" spans="1:33" ht="15.75" customHeight="1">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c r="AD546" s="127"/>
      <c r="AE546" s="127"/>
      <c r="AF546" s="127"/>
      <c r="AG546" s="127"/>
    </row>
    <row r="547" spans="1:33" ht="15.75" customHeight="1">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c r="AD547" s="127"/>
      <c r="AE547" s="127"/>
      <c r="AF547" s="127"/>
      <c r="AG547" s="127"/>
    </row>
    <row r="548" spans="1:33" ht="15.75" customHeight="1">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c r="AD548" s="127"/>
      <c r="AE548" s="127"/>
      <c r="AF548" s="127"/>
      <c r="AG548" s="127"/>
    </row>
    <row r="549" spans="1:33" ht="15.75" customHeight="1">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c r="AD549" s="127"/>
      <c r="AE549" s="127"/>
      <c r="AF549" s="127"/>
      <c r="AG549" s="127"/>
    </row>
    <row r="550" spans="1:33" ht="15.75" customHeight="1">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c r="AD550" s="127"/>
      <c r="AE550" s="127"/>
      <c r="AF550" s="127"/>
      <c r="AG550" s="127"/>
    </row>
    <row r="551" spans="1:33" ht="15.75" customHeight="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c r="AD551" s="127"/>
      <c r="AE551" s="127"/>
      <c r="AF551" s="127"/>
      <c r="AG551" s="127"/>
    </row>
    <row r="552" spans="1:33" ht="15.75" customHeight="1">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c r="AD552" s="127"/>
      <c r="AE552" s="127"/>
      <c r="AF552" s="127"/>
      <c r="AG552" s="127"/>
    </row>
    <row r="553" spans="1:33" ht="15.75" customHeight="1">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c r="AD553" s="127"/>
      <c r="AE553" s="127"/>
      <c r="AF553" s="127"/>
      <c r="AG553" s="127"/>
    </row>
    <row r="554" spans="1:33" ht="15.75" customHeight="1">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c r="AD554" s="127"/>
      <c r="AE554" s="127"/>
      <c r="AF554" s="127"/>
      <c r="AG554" s="127"/>
    </row>
    <row r="555" spans="1:33" ht="15.75" customHeight="1">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c r="AD555" s="127"/>
      <c r="AE555" s="127"/>
      <c r="AF555" s="127"/>
      <c r="AG555" s="127"/>
    </row>
    <row r="556" spans="1:33" ht="15.75" customHeight="1">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c r="AD556" s="127"/>
      <c r="AE556" s="127"/>
      <c r="AF556" s="127"/>
      <c r="AG556" s="127"/>
    </row>
    <row r="557" spans="1:33" ht="15.75" customHeight="1">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c r="AD557" s="127"/>
      <c r="AE557" s="127"/>
      <c r="AF557" s="127"/>
      <c r="AG557" s="127"/>
    </row>
    <row r="558" spans="1:33" ht="15.75" customHeight="1">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c r="AD558" s="127"/>
      <c r="AE558" s="127"/>
      <c r="AF558" s="127"/>
      <c r="AG558" s="127"/>
    </row>
    <row r="559" spans="1:33" ht="15.75" customHeight="1">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c r="AD559" s="127"/>
      <c r="AE559" s="127"/>
      <c r="AF559" s="127"/>
      <c r="AG559" s="127"/>
    </row>
    <row r="560" spans="1:33" ht="15.75" customHeight="1">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c r="AD560" s="127"/>
      <c r="AE560" s="127"/>
      <c r="AF560" s="127"/>
      <c r="AG560" s="127"/>
    </row>
    <row r="561" spans="1:33" ht="15.75" customHeight="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c r="AD561" s="127"/>
      <c r="AE561" s="127"/>
      <c r="AF561" s="127"/>
      <c r="AG561" s="127"/>
    </row>
    <row r="562" spans="1:33" ht="15.75" customHeight="1">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c r="AD562" s="127"/>
      <c r="AE562" s="127"/>
      <c r="AF562" s="127"/>
      <c r="AG562" s="127"/>
    </row>
    <row r="563" spans="1:33" ht="15.75" customHeight="1">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c r="AD563" s="127"/>
      <c r="AE563" s="127"/>
      <c r="AF563" s="127"/>
      <c r="AG563" s="127"/>
    </row>
    <row r="564" spans="1:33" ht="15.75" customHeight="1">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c r="AD564" s="127"/>
      <c r="AE564" s="127"/>
      <c r="AF564" s="127"/>
      <c r="AG564" s="127"/>
    </row>
    <row r="565" spans="1:33" ht="15.75" customHeight="1">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c r="AD565" s="127"/>
      <c r="AE565" s="127"/>
      <c r="AF565" s="127"/>
      <c r="AG565" s="127"/>
    </row>
    <row r="566" spans="1:33" ht="15.75" customHeight="1">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c r="AD566" s="127"/>
      <c r="AE566" s="127"/>
      <c r="AF566" s="127"/>
      <c r="AG566" s="127"/>
    </row>
    <row r="567" spans="1:33" ht="15.75" customHeight="1">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c r="AD567" s="127"/>
      <c r="AE567" s="127"/>
      <c r="AF567" s="127"/>
      <c r="AG567" s="127"/>
    </row>
    <row r="568" spans="1:33" ht="15.75" customHeight="1">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c r="AD568" s="127"/>
      <c r="AE568" s="127"/>
      <c r="AF568" s="127"/>
      <c r="AG568" s="127"/>
    </row>
    <row r="569" spans="1:33" ht="15.75" customHeight="1">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c r="AD569" s="127"/>
      <c r="AE569" s="127"/>
      <c r="AF569" s="127"/>
      <c r="AG569" s="127"/>
    </row>
    <row r="570" spans="1:33" ht="15.75" customHeight="1">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c r="AD570" s="127"/>
      <c r="AE570" s="127"/>
      <c r="AF570" s="127"/>
      <c r="AG570" s="127"/>
    </row>
    <row r="571" spans="1:33" ht="15.75" customHeight="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c r="AD571" s="127"/>
      <c r="AE571" s="127"/>
      <c r="AF571" s="127"/>
      <c r="AG571" s="127"/>
    </row>
    <row r="572" spans="1:33" ht="15.75" customHeight="1">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c r="AD572" s="127"/>
      <c r="AE572" s="127"/>
      <c r="AF572" s="127"/>
      <c r="AG572" s="127"/>
    </row>
    <row r="573" spans="1:33" ht="15.75" customHeight="1">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c r="AD573" s="127"/>
      <c r="AE573" s="127"/>
      <c r="AF573" s="127"/>
      <c r="AG573" s="127"/>
    </row>
    <row r="574" spans="1:33" ht="15.75" customHeight="1">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c r="AD574" s="127"/>
      <c r="AE574" s="127"/>
      <c r="AF574" s="127"/>
      <c r="AG574" s="127"/>
    </row>
    <row r="575" spans="1:33" ht="15.75" customHeight="1">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c r="AD575" s="127"/>
      <c r="AE575" s="127"/>
      <c r="AF575" s="127"/>
      <c r="AG575" s="127"/>
    </row>
    <row r="576" spans="1:33" ht="15.75" customHeight="1">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c r="AD576" s="127"/>
      <c r="AE576" s="127"/>
      <c r="AF576" s="127"/>
      <c r="AG576" s="127"/>
    </row>
    <row r="577" spans="1:33" ht="15.75" customHeight="1">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c r="AD577" s="127"/>
      <c r="AE577" s="127"/>
      <c r="AF577" s="127"/>
      <c r="AG577" s="127"/>
    </row>
    <row r="578" spans="1:33" ht="15.75" customHeight="1">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c r="AD578" s="127"/>
      <c r="AE578" s="127"/>
      <c r="AF578" s="127"/>
      <c r="AG578" s="127"/>
    </row>
    <row r="579" spans="1:33" ht="15.75" customHeight="1">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c r="AD579" s="127"/>
      <c r="AE579" s="127"/>
      <c r="AF579" s="127"/>
      <c r="AG579" s="127"/>
    </row>
    <row r="580" spans="1:33" ht="15.75" customHeight="1">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c r="AD580" s="127"/>
      <c r="AE580" s="127"/>
      <c r="AF580" s="127"/>
      <c r="AG580" s="127"/>
    </row>
    <row r="581" spans="1:33" ht="15.75" customHeight="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c r="AD581" s="127"/>
      <c r="AE581" s="127"/>
      <c r="AF581" s="127"/>
      <c r="AG581" s="127"/>
    </row>
    <row r="582" spans="1:33" ht="15.75" customHeight="1">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c r="AD582" s="127"/>
      <c r="AE582" s="127"/>
      <c r="AF582" s="127"/>
      <c r="AG582" s="127"/>
    </row>
    <row r="583" spans="1:33" ht="15.75" customHeight="1">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c r="AD583" s="127"/>
      <c r="AE583" s="127"/>
      <c r="AF583" s="127"/>
      <c r="AG583" s="127"/>
    </row>
    <row r="584" spans="1:33" ht="15.75" customHeight="1">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c r="AD584" s="127"/>
      <c r="AE584" s="127"/>
      <c r="AF584" s="127"/>
      <c r="AG584" s="127"/>
    </row>
    <row r="585" spans="1:33" ht="15.75" customHeight="1">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c r="AD585" s="127"/>
      <c r="AE585" s="127"/>
      <c r="AF585" s="127"/>
      <c r="AG585" s="127"/>
    </row>
    <row r="586" spans="1:33" ht="15.75" customHeight="1">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c r="AD586" s="127"/>
      <c r="AE586" s="127"/>
      <c r="AF586" s="127"/>
      <c r="AG586" s="127"/>
    </row>
    <row r="587" spans="1:33" ht="15.75" customHeight="1">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c r="AD587" s="127"/>
      <c r="AE587" s="127"/>
      <c r="AF587" s="127"/>
      <c r="AG587" s="127"/>
    </row>
    <row r="588" spans="1:33" ht="15.75" customHeight="1">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c r="AD588" s="127"/>
      <c r="AE588" s="127"/>
      <c r="AF588" s="127"/>
      <c r="AG588" s="127"/>
    </row>
    <row r="589" spans="1:33" ht="15.75" customHeight="1">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c r="AD589" s="127"/>
      <c r="AE589" s="127"/>
      <c r="AF589" s="127"/>
      <c r="AG589" s="127"/>
    </row>
    <row r="590" spans="1:33" ht="15.75" customHeight="1">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c r="AD590" s="127"/>
      <c r="AE590" s="127"/>
      <c r="AF590" s="127"/>
      <c r="AG590" s="127"/>
    </row>
    <row r="591" spans="1:33" ht="15.75" customHeight="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c r="AD591" s="127"/>
      <c r="AE591" s="127"/>
      <c r="AF591" s="127"/>
      <c r="AG591" s="127"/>
    </row>
    <row r="592" spans="1:33" ht="15.75" customHeight="1">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c r="AD592" s="127"/>
      <c r="AE592" s="127"/>
      <c r="AF592" s="127"/>
      <c r="AG592" s="127"/>
    </row>
    <row r="593" spans="1:33" ht="15.75" customHeight="1">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c r="AD593" s="127"/>
      <c r="AE593" s="127"/>
      <c r="AF593" s="127"/>
      <c r="AG593" s="127"/>
    </row>
    <row r="594" spans="1:33" ht="15.75" customHeight="1">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c r="AD594" s="127"/>
      <c r="AE594" s="127"/>
      <c r="AF594" s="127"/>
      <c r="AG594" s="127"/>
    </row>
    <row r="595" spans="1:33" ht="15.75" customHeight="1">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c r="AD595" s="127"/>
      <c r="AE595" s="127"/>
      <c r="AF595" s="127"/>
      <c r="AG595" s="127"/>
    </row>
    <row r="596" spans="1:33" ht="15.75" customHeight="1">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c r="AD596" s="127"/>
      <c r="AE596" s="127"/>
      <c r="AF596" s="127"/>
      <c r="AG596" s="127"/>
    </row>
    <row r="597" spans="1:33" ht="15.75" customHeight="1">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c r="AD597" s="127"/>
      <c r="AE597" s="127"/>
      <c r="AF597" s="127"/>
      <c r="AG597" s="127"/>
    </row>
    <row r="598" spans="1:33" ht="15.75" customHeight="1">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c r="AD598" s="127"/>
      <c r="AE598" s="127"/>
      <c r="AF598" s="127"/>
      <c r="AG598" s="127"/>
    </row>
    <row r="599" spans="1:33" ht="15.75" customHeight="1">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c r="AD599" s="127"/>
      <c r="AE599" s="127"/>
      <c r="AF599" s="127"/>
      <c r="AG599" s="127"/>
    </row>
    <row r="600" spans="1:33" ht="15.75" customHeight="1">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c r="AD600" s="127"/>
      <c r="AE600" s="127"/>
      <c r="AF600" s="127"/>
      <c r="AG600" s="127"/>
    </row>
    <row r="601" spans="1:33" ht="15.75" customHeight="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c r="AD601" s="127"/>
      <c r="AE601" s="127"/>
      <c r="AF601" s="127"/>
      <c r="AG601" s="127"/>
    </row>
    <row r="602" spans="1:33" ht="15.75" customHeight="1">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c r="AD602" s="127"/>
      <c r="AE602" s="127"/>
      <c r="AF602" s="127"/>
      <c r="AG602" s="127"/>
    </row>
    <row r="603" spans="1:33" ht="15.75" customHeight="1">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c r="AD603" s="127"/>
      <c r="AE603" s="127"/>
      <c r="AF603" s="127"/>
      <c r="AG603" s="127"/>
    </row>
    <row r="604" spans="1:33" ht="15.75" customHeight="1">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c r="AD604" s="127"/>
      <c r="AE604" s="127"/>
      <c r="AF604" s="127"/>
      <c r="AG604" s="127"/>
    </row>
    <row r="605" spans="1:33" ht="15.75" customHeight="1">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c r="AD605" s="127"/>
      <c r="AE605" s="127"/>
      <c r="AF605" s="127"/>
      <c r="AG605" s="127"/>
    </row>
    <row r="606" spans="1:33" ht="15.75" customHeight="1">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c r="AD606" s="127"/>
      <c r="AE606" s="127"/>
      <c r="AF606" s="127"/>
      <c r="AG606" s="127"/>
    </row>
    <row r="607" spans="1:33" ht="15.75" customHeight="1">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c r="AD607" s="127"/>
      <c r="AE607" s="127"/>
      <c r="AF607" s="127"/>
      <c r="AG607" s="127"/>
    </row>
    <row r="608" spans="1:33" ht="15.75" customHeight="1">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c r="AD608" s="127"/>
      <c r="AE608" s="127"/>
      <c r="AF608" s="127"/>
      <c r="AG608" s="127"/>
    </row>
    <row r="609" spans="1:33" ht="15.75" customHeight="1">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c r="AD609" s="127"/>
      <c r="AE609" s="127"/>
      <c r="AF609" s="127"/>
      <c r="AG609" s="127"/>
    </row>
    <row r="610" spans="1:33" ht="15.75" customHeight="1">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c r="AD610" s="127"/>
      <c r="AE610" s="127"/>
      <c r="AF610" s="127"/>
      <c r="AG610" s="127"/>
    </row>
    <row r="611" spans="1:33" ht="15.75" customHeight="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c r="AD611" s="127"/>
      <c r="AE611" s="127"/>
      <c r="AF611" s="127"/>
      <c r="AG611" s="127"/>
    </row>
    <row r="612" spans="1:33" ht="15.75" customHeight="1">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c r="AD612" s="127"/>
      <c r="AE612" s="127"/>
      <c r="AF612" s="127"/>
      <c r="AG612" s="127"/>
    </row>
    <row r="613" spans="1:33" ht="15.75" customHeight="1">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c r="AD613" s="127"/>
      <c r="AE613" s="127"/>
      <c r="AF613" s="127"/>
      <c r="AG613" s="127"/>
    </row>
    <row r="614" spans="1:33" ht="15.75" customHeight="1">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c r="AD614" s="127"/>
      <c r="AE614" s="127"/>
      <c r="AF614" s="127"/>
      <c r="AG614" s="127"/>
    </row>
    <row r="615" spans="1:33" ht="15.75" customHeight="1">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c r="AD615" s="127"/>
      <c r="AE615" s="127"/>
      <c r="AF615" s="127"/>
      <c r="AG615" s="127"/>
    </row>
    <row r="616" spans="1:33" ht="15.75" customHeight="1">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c r="AD616" s="127"/>
      <c r="AE616" s="127"/>
      <c r="AF616" s="127"/>
      <c r="AG616" s="127"/>
    </row>
    <row r="617" spans="1:33" ht="15.75" customHeight="1">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c r="AD617" s="127"/>
      <c r="AE617" s="127"/>
      <c r="AF617" s="127"/>
      <c r="AG617" s="127"/>
    </row>
    <row r="618" spans="1:33" ht="15.75" customHeight="1">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c r="AD618" s="127"/>
      <c r="AE618" s="127"/>
      <c r="AF618" s="127"/>
      <c r="AG618" s="127"/>
    </row>
    <row r="619" spans="1:33" ht="15.75" customHeight="1">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c r="AD619" s="127"/>
      <c r="AE619" s="127"/>
      <c r="AF619" s="127"/>
      <c r="AG619" s="127"/>
    </row>
    <row r="620" spans="1:33" ht="15.75" customHeight="1">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c r="AD620" s="127"/>
      <c r="AE620" s="127"/>
      <c r="AF620" s="127"/>
      <c r="AG620" s="127"/>
    </row>
    <row r="621" spans="1:33" ht="15.75" customHeight="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c r="AD621" s="127"/>
      <c r="AE621" s="127"/>
      <c r="AF621" s="127"/>
      <c r="AG621" s="127"/>
    </row>
    <row r="622" spans="1:33" ht="15.75" customHeight="1">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c r="AD622" s="127"/>
      <c r="AE622" s="127"/>
      <c r="AF622" s="127"/>
      <c r="AG622" s="127"/>
    </row>
    <row r="623" spans="1:33" ht="15.75" customHeight="1">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c r="AD623" s="127"/>
      <c r="AE623" s="127"/>
      <c r="AF623" s="127"/>
      <c r="AG623" s="127"/>
    </row>
    <row r="624" spans="1:33" ht="15.75" customHeight="1">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c r="AD624" s="127"/>
      <c r="AE624" s="127"/>
      <c r="AF624" s="127"/>
      <c r="AG624" s="127"/>
    </row>
    <row r="625" spans="1:33" ht="15.75" customHeight="1">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c r="AD625" s="127"/>
      <c r="AE625" s="127"/>
      <c r="AF625" s="127"/>
      <c r="AG625" s="127"/>
    </row>
    <row r="626" spans="1:33" ht="15.75" customHeight="1">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c r="AD626" s="127"/>
      <c r="AE626" s="127"/>
      <c r="AF626" s="127"/>
      <c r="AG626" s="127"/>
    </row>
    <row r="627" spans="1:33" ht="15.75" customHeight="1">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c r="AD627" s="127"/>
      <c r="AE627" s="127"/>
      <c r="AF627" s="127"/>
      <c r="AG627" s="127"/>
    </row>
    <row r="628" spans="1:33" ht="15.75" customHeight="1">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c r="AD628" s="127"/>
      <c r="AE628" s="127"/>
      <c r="AF628" s="127"/>
      <c r="AG628" s="127"/>
    </row>
    <row r="629" spans="1:33" ht="15.75" customHeight="1">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c r="AD629" s="127"/>
      <c r="AE629" s="127"/>
      <c r="AF629" s="127"/>
      <c r="AG629" s="127"/>
    </row>
    <row r="630" spans="1:33" ht="15.75" customHeight="1">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c r="AD630" s="127"/>
      <c r="AE630" s="127"/>
      <c r="AF630" s="127"/>
      <c r="AG630" s="127"/>
    </row>
    <row r="631" spans="1:33" ht="15.75" customHeight="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c r="AD631" s="127"/>
      <c r="AE631" s="127"/>
      <c r="AF631" s="127"/>
      <c r="AG631" s="127"/>
    </row>
    <row r="632" spans="1:33" ht="15.75" customHeight="1">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c r="AD632" s="127"/>
      <c r="AE632" s="127"/>
      <c r="AF632" s="127"/>
      <c r="AG632" s="127"/>
    </row>
    <row r="633" spans="1:33" ht="15.75" customHeight="1">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c r="AD633" s="127"/>
      <c r="AE633" s="127"/>
      <c r="AF633" s="127"/>
      <c r="AG633" s="127"/>
    </row>
    <row r="634" spans="1:33" ht="15.75" customHeight="1">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c r="AD634" s="127"/>
      <c r="AE634" s="127"/>
      <c r="AF634" s="127"/>
      <c r="AG634" s="127"/>
    </row>
    <row r="635" spans="1:33" ht="15.75" customHeight="1">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c r="AD635" s="127"/>
      <c r="AE635" s="127"/>
      <c r="AF635" s="127"/>
      <c r="AG635" s="127"/>
    </row>
    <row r="636" spans="1:33" ht="15.75" customHeight="1">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c r="AD636" s="127"/>
      <c r="AE636" s="127"/>
      <c r="AF636" s="127"/>
      <c r="AG636" s="127"/>
    </row>
    <row r="637" spans="1:33" ht="15.75" customHeight="1">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c r="AD637" s="127"/>
      <c r="AE637" s="127"/>
      <c r="AF637" s="127"/>
      <c r="AG637" s="127"/>
    </row>
    <row r="638" spans="1:33" ht="15.75" customHeight="1">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c r="AD638" s="127"/>
      <c r="AE638" s="127"/>
      <c r="AF638" s="127"/>
      <c r="AG638" s="127"/>
    </row>
    <row r="639" spans="1:33" ht="15.75" customHeight="1">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c r="AD639" s="127"/>
      <c r="AE639" s="127"/>
      <c r="AF639" s="127"/>
      <c r="AG639" s="127"/>
    </row>
    <row r="640" spans="1:33" ht="15.75" customHeight="1">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c r="AD640" s="127"/>
      <c r="AE640" s="127"/>
      <c r="AF640" s="127"/>
      <c r="AG640" s="127"/>
    </row>
    <row r="641" spans="1:33" ht="15.75" customHeight="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c r="AD641" s="127"/>
      <c r="AE641" s="127"/>
      <c r="AF641" s="127"/>
      <c r="AG641" s="127"/>
    </row>
    <row r="642" spans="1:33" ht="15.75" customHeight="1">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c r="AD642" s="127"/>
      <c r="AE642" s="127"/>
      <c r="AF642" s="127"/>
      <c r="AG642" s="127"/>
    </row>
    <row r="643" spans="1:33" ht="15.75" customHeight="1">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c r="AD643" s="127"/>
      <c r="AE643" s="127"/>
      <c r="AF643" s="127"/>
      <c r="AG643" s="127"/>
    </row>
    <row r="644" spans="1:33" ht="15.75" customHeight="1">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c r="AD644" s="127"/>
      <c r="AE644" s="127"/>
      <c r="AF644" s="127"/>
      <c r="AG644" s="127"/>
    </row>
    <row r="645" spans="1:33" ht="15.75" customHeight="1">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c r="AD645" s="127"/>
      <c r="AE645" s="127"/>
      <c r="AF645" s="127"/>
      <c r="AG645" s="127"/>
    </row>
    <row r="646" spans="1:33" ht="15.75" customHeight="1">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c r="AD646" s="127"/>
      <c r="AE646" s="127"/>
      <c r="AF646" s="127"/>
      <c r="AG646" s="127"/>
    </row>
    <row r="647" spans="1:33" ht="15.75" customHeight="1">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c r="AD647" s="127"/>
      <c r="AE647" s="127"/>
      <c r="AF647" s="127"/>
      <c r="AG647" s="127"/>
    </row>
    <row r="648" spans="1:33" ht="15.75" customHeight="1">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c r="AD648" s="127"/>
      <c r="AE648" s="127"/>
      <c r="AF648" s="127"/>
      <c r="AG648" s="127"/>
    </row>
    <row r="649" spans="1:33" ht="15.75" customHeight="1">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c r="AD649" s="127"/>
      <c r="AE649" s="127"/>
      <c r="AF649" s="127"/>
      <c r="AG649" s="127"/>
    </row>
    <row r="650" spans="1:33" ht="15.75" customHeight="1">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c r="AD650" s="127"/>
      <c r="AE650" s="127"/>
      <c r="AF650" s="127"/>
      <c r="AG650" s="127"/>
    </row>
    <row r="651" spans="1:33" ht="15.75" customHeight="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c r="AD651" s="127"/>
      <c r="AE651" s="127"/>
      <c r="AF651" s="127"/>
      <c r="AG651" s="127"/>
    </row>
    <row r="652" spans="1:33" ht="15.75" customHeight="1">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c r="AD652" s="127"/>
      <c r="AE652" s="127"/>
      <c r="AF652" s="127"/>
      <c r="AG652" s="127"/>
    </row>
    <row r="653" spans="1:33" ht="15.75" customHeight="1">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c r="AD653" s="127"/>
      <c r="AE653" s="127"/>
      <c r="AF653" s="127"/>
      <c r="AG653" s="127"/>
    </row>
    <row r="654" spans="1:33" ht="15.75" customHeight="1">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c r="AD654" s="127"/>
      <c r="AE654" s="127"/>
      <c r="AF654" s="127"/>
      <c r="AG654" s="127"/>
    </row>
    <row r="655" spans="1:33" ht="15.75" customHeight="1">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c r="AD655" s="127"/>
      <c r="AE655" s="127"/>
      <c r="AF655" s="127"/>
      <c r="AG655" s="127"/>
    </row>
    <row r="656" spans="1:33" ht="15.75" customHeight="1">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c r="AD656" s="127"/>
      <c r="AE656" s="127"/>
      <c r="AF656" s="127"/>
      <c r="AG656" s="127"/>
    </row>
    <row r="657" spans="1:33" ht="15.75" customHeight="1">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c r="AD657" s="127"/>
      <c r="AE657" s="127"/>
      <c r="AF657" s="127"/>
      <c r="AG657" s="127"/>
    </row>
    <row r="658" spans="1:33" ht="15.75" customHeight="1">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c r="AD658" s="127"/>
      <c r="AE658" s="127"/>
      <c r="AF658" s="127"/>
      <c r="AG658" s="127"/>
    </row>
    <row r="659" spans="1:33" ht="15.75" customHeight="1">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c r="AD659" s="127"/>
      <c r="AE659" s="127"/>
      <c r="AF659" s="127"/>
      <c r="AG659" s="127"/>
    </row>
    <row r="660" spans="1:33" ht="15.75" customHeight="1">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c r="AD660" s="127"/>
      <c r="AE660" s="127"/>
      <c r="AF660" s="127"/>
      <c r="AG660" s="127"/>
    </row>
    <row r="661" spans="1:33" ht="15.75" customHeight="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c r="AD661" s="127"/>
      <c r="AE661" s="127"/>
      <c r="AF661" s="127"/>
      <c r="AG661" s="127"/>
    </row>
    <row r="662" spans="1:33" ht="15.75" customHeight="1">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c r="AD662" s="127"/>
      <c r="AE662" s="127"/>
      <c r="AF662" s="127"/>
      <c r="AG662" s="127"/>
    </row>
    <row r="663" spans="1:33" ht="15.75" customHeight="1">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c r="AD663" s="127"/>
      <c r="AE663" s="127"/>
      <c r="AF663" s="127"/>
      <c r="AG663" s="127"/>
    </row>
    <row r="664" spans="1:33" ht="15.75" customHeight="1">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c r="AD664" s="127"/>
      <c r="AE664" s="127"/>
      <c r="AF664" s="127"/>
      <c r="AG664" s="127"/>
    </row>
    <row r="665" spans="1:33" ht="15.75" customHeight="1">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c r="AD665" s="127"/>
      <c r="AE665" s="127"/>
      <c r="AF665" s="127"/>
      <c r="AG665" s="127"/>
    </row>
    <row r="666" spans="1:33" ht="15.75" customHeight="1">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c r="AD666" s="127"/>
      <c r="AE666" s="127"/>
      <c r="AF666" s="127"/>
      <c r="AG666" s="127"/>
    </row>
    <row r="667" spans="1:33" ht="15.75" customHeight="1">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c r="AD667" s="127"/>
      <c r="AE667" s="127"/>
      <c r="AF667" s="127"/>
      <c r="AG667" s="127"/>
    </row>
    <row r="668" spans="1:33" ht="15.75" customHeight="1">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c r="AD668" s="127"/>
      <c r="AE668" s="127"/>
      <c r="AF668" s="127"/>
      <c r="AG668" s="127"/>
    </row>
    <row r="669" spans="1:33" ht="15.75" customHeight="1">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c r="AD669" s="127"/>
      <c r="AE669" s="127"/>
      <c r="AF669" s="127"/>
      <c r="AG669" s="127"/>
    </row>
    <row r="670" spans="1:33" ht="15.75" customHeight="1">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c r="AD670" s="127"/>
      <c r="AE670" s="127"/>
      <c r="AF670" s="127"/>
      <c r="AG670" s="127"/>
    </row>
    <row r="671" spans="1:33" ht="15.75" customHeight="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c r="AD671" s="127"/>
      <c r="AE671" s="127"/>
      <c r="AF671" s="127"/>
      <c r="AG671" s="127"/>
    </row>
    <row r="672" spans="1:33" ht="15.75" customHeight="1">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c r="AD672" s="127"/>
      <c r="AE672" s="127"/>
      <c r="AF672" s="127"/>
      <c r="AG672" s="127"/>
    </row>
    <row r="673" spans="1:33" ht="15.75" customHeight="1">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c r="AD673" s="127"/>
      <c r="AE673" s="127"/>
      <c r="AF673" s="127"/>
      <c r="AG673" s="127"/>
    </row>
    <row r="674" spans="1:33" ht="15.75" customHeight="1">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c r="AD674" s="127"/>
      <c r="AE674" s="127"/>
      <c r="AF674" s="127"/>
      <c r="AG674" s="127"/>
    </row>
    <row r="675" spans="1:33" ht="15.75" customHeight="1">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c r="AD675" s="127"/>
      <c r="AE675" s="127"/>
      <c r="AF675" s="127"/>
      <c r="AG675" s="127"/>
    </row>
    <row r="676" spans="1:33" ht="15.75" customHeight="1">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c r="AD676" s="127"/>
      <c r="AE676" s="127"/>
      <c r="AF676" s="127"/>
      <c r="AG676" s="127"/>
    </row>
    <row r="677" spans="1:33" ht="15.75" customHeight="1">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c r="AD677" s="127"/>
      <c r="AE677" s="127"/>
      <c r="AF677" s="127"/>
      <c r="AG677" s="127"/>
    </row>
    <row r="678" spans="1:33" ht="15.75" customHeight="1">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c r="AD678" s="127"/>
      <c r="AE678" s="127"/>
      <c r="AF678" s="127"/>
      <c r="AG678" s="127"/>
    </row>
    <row r="679" spans="1:33" ht="15.75" customHeight="1">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c r="AD679" s="127"/>
      <c r="AE679" s="127"/>
      <c r="AF679" s="127"/>
      <c r="AG679" s="127"/>
    </row>
    <row r="680" spans="1:33" ht="15.75" customHeight="1">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c r="AD680" s="127"/>
      <c r="AE680" s="127"/>
      <c r="AF680" s="127"/>
      <c r="AG680" s="127"/>
    </row>
    <row r="681" spans="1:33" ht="15.75" customHeight="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c r="AD681" s="127"/>
      <c r="AE681" s="127"/>
      <c r="AF681" s="127"/>
      <c r="AG681" s="127"/>
    </row>
    <row r="682" spans="1:33" ht="15.75" customHeight="1">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c r="AD682" s="127"/>
      <c r="AE682" s="127"/>
      <c r="AF682" s="127"/>
      <c r="AG682" s="127"/>
    </row>
    <row r="683" spans="1:33" ht="15.75" customHeight="1">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c r="AD683" s="127"/>
      <c r="AE683" s="127"/>
      <c r="AF683" s="127"/>
      <c r="AG683" s="127"/>
    </row>
    <row r="684" spans="1:33" ht="15.75" customHeight="1">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c r="AD684" s="127"/>
      <c r="AE684" s="127"/>
      <c r="AF684" s="127"/>
      <c r="AG684" s="127"/>
    </row>
    <row r="685" spans="1:33" ht="15.75" customHeight="1">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c r="AD685" s="127"/>
      <c r="AE685" s="127"/>
      <c r="AF685" s="127"/>
      <c r="AG685" s="127"/>
    </row>
    <row r="686" spans="1:33" ht="15.75" customHeight="1">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c r="AD686" s="127"/>
      <c r="AE686" s="127"/>
      <c r="AF686" s="127"/>
      <c r="AG686" s="127"/>
    </row>
    <row r="687" spans="1:33" ht="15.75" customHeight="1">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c r="AD687" s="127"/>
      <c r="AE687" s="127"/>
      <c r="AF687" s="127"/>
      <c r="AG687" s="127"/>
    </row>
    <row r="688" spans="1:33" ht="15.75" customHeight="1">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c r="AD688" s="127"/>
      <c r="AE688" s="127"/>
      <c r="AF688" s="127"/>
      <c r="AG688" s="127"/>
    </row>
    <row r="689" spans="1:33" ht="15.75" customHeight="1">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c r="AD689" s="127"/>
      <c r="AE689" s="127"/>
      <c r="AF689" s="127"/>
      <c r="AG689" s="127"/>
    </row>
    <row r="690" spans="1:33" ht="15.75" customHeight="1">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c r="AD690" s="127"/>
      <c r="AE690" s="127"/>
      <c r="AF690" s="127"/>
      <c r="AG690" s="127"/>
    </row>
    <row r="691" spans="1:33" ht="15.75" customHeight="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c r="AD691" s="127"/>
      <c r="AE691" s="127"/>
      <c r="AF691" s="127"/>
      <c r="AG691" s="127"/>
    </row>
    <row r="692" spans="1:33" ht="15.75" customHeight="1">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c r="AD692" s="127"/>
      <c r="AE692" s="127"/>
      <c r="AF692" s="127"/>
      <c r="AG692" s="127"/>
    </row>
    <row r="693" spans="1:33" ht="15.75" customHeight="1">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c r="AD693" s="127"/>
      <c r="AE693" s="127"/>
      <c r="AF693" s="127"/>
      <c r="AG693" s="127"/>
    </row>
    <row r="694" spans="1:33" ht="15.75" customHeight="1">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c r="AD694" s="127"/>
      <c r="AE694" s="127"/>
      <c r="AF694" s="127"/>
      <c r="AG694" s="127"/>
    </row>
    <row r="695" spans="1:33" ht="15.75" customHeight="1">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c r="AD695" s="127"/>
      <c r="AE695" s="127"/>
      <c r="AF695" s="127"/>
      <c r="AG695" s="127"/>
    </row>
    <row r="696" spans="1:33" ht="15.75" customHeight="1">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c r="AD696" s="127"/>
      <c r="AE696" s="127"/>
      <c r="AF696" s="127"/>
      <c r="AG696" s="127"/>
    </row>
    <row r="697" spans="1:33" ht="15.75" customHeight="1">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c r="AD697" s="127"/>
      <c r="AE697" s="127"/>
      <c r="AF697" s="127"/>
      <c r="AG697" s="127"/>
    </row>
    <row r="698" spans="1:33" ht="15.75" customHeight="1">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c r="AD698" s="127"/>
      <c r="AE698" s="127"/>
      <c r="AF698" s="127"/>
      <c r="AG698" s="127"/>
    </row>
    <row r="699" spans="1:33" ht="15.75" customHeight="1">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c r="AD699" s="127"/>
      <c r="AE699" s="127"/>
      <c r="AF699" s="127"/>
      <c r="AG699" s="127"/>
    </row>
    <row r="700" spans="1:33" ht="15.75" customHeight="1">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c r="AD700" s="127"/>
      <c r="AE700" s="127"/>
      <c r="AF700" s="127"/>
      <c r="AG700" s="127"/>
    </row>
    <row r="701" spans="1:33" ht="15.75" customHeight="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c r="AD701" s="127"/>
      <c r="AE701" s="127"/>
      <c r="AF701" s="127"/>
      <c r="AG701" s="127"/>
    </row>
    <row r="702" spans="1:33" ht="15.75" customHeight="1">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c r="AD702" s="127"/>
      <c r="AE702" s="127"/>
      <c r="AF702" s="127"/>
      <c r="AG702" s="127"/>
    </row>
    <row r="703" spans="1:33" ht="15.75" customHeight="1">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c r="AD703" s="127"/>
      <c r="AE703" s="127"/>
      <c r="AF703" s="127"/>
      <c r="AG703" s="127"/>
    </row>
    <row r="704" spans="1:33" ht="15.75" customHeight="1">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c r="AD704" s="127"/>
      <c r="AE704" s="127"/>
      <c r="AF704" s="127"/>
      <c r="AG704" s="127"/>
    </row>
    <row r="705" spans="1:33" ht="15.75" customHeight="1">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c r="AD705" s="127"/>
      <c r="AE705" s="127"/>
      <c r="AF705" s="127"/>
      <c r="AG705" s="127"/>
    </row>
    <row r="706" spans="1:33" ht="15.75" customHeight="1">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c r="AD706" s="127"/>
      <c r="AE706" s="127"/>
      <c r="AF706" s="127"/>
      <c r="AG706" s="127"/>
    </row>
    <row r="707" spans="1:33" ht="15.75" customHeight="1">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c r="AD707" s="127"/>
      <c r="AE707" s="127"/>
      <c r="AF707" s="127"/>
      <c r="AG707" s="127"/>
    </row>
    <row r="708" spans="1:33" ht="15.75" customHeight="1">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c r="AD708" s="127"/>
      <c r="AE708" s="127"/>
      <c r="AF708" s="127"/>
      <c r="AG708" s="127"/>
    </row>
    <row r="709" spans="1:33" ht="15.75" customHeight="1">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c r="AD709" s="127"/>
      <c r="AE709" s="127"/>
      <c r="AF709" s="127"/>
      <c r="AG709" s="127"/>
    </row>
    <row r="710" spans="1:33" ht="15.75" customHeight="1">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c r="AD710" s="127"/>
      <c r="AE710" s="127"/>
      <c r="AF710" s="127"/>
      <c r="AG710" s="127"/>
    </row>
    <row r="711" spans="1:33" ht="15.75" customHeight="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c r="AD711" s="127"/>
      <c r="AE711" s="127"/>
      <c r="AF711" s="127"/>
      <c r="AG711" s="127"/>
    </row>
    <row r="712" spans="1:33" ht="15.75" customHeight="1">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c r="AD712" s="127"/>
      <c r="AE712" s="127"/>
      <c r="AF712" s="127"/>
      <c r="AG712" s="127"/>
    </row>
    <row r="713" spans="1:33" ht="15.75" customHeight="1">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c r="AD713" s="127"/>
      <c r="AE713" s="127"/>
      <c r="AF713" s="127"/>
      <c r="AG713" s="127"/>
    </row>
    <row r="714" spans="1:33" ht="15.75" customHeight="1">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c r="AD714" s="127"/>
      <c r="AE714" s="127"/>
      <c r="AF714" s="127"/>
      <c r="AG714" s="127"/>
    </row>
    <row r="715" spans="1:33" ht="15.75" customHeight="1">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c r="AD715" s="127"/>
      <c r="AE715" s="127"/>
      <c r="AF715" s="127"/>
      <c r="AG715" s="127"/>
    </row>
    <row r="716" spans="1:33" ht="15.75" customHeight="1">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c r="AD716" s="127"/>
      <c r="AE716" s="127"/>
      <c r="AF716" s="127"/>
      <c r="AG716" s="127"/>
    </row>
    <row r="717" spans="1:33" ht="15.75" customHeight="1">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c r="AD717" s="127"/>
      <c r="AE717" s="127"/>
      <c r="AF717" s="127"/>
      <c r="AG717" s="127"/>
    </row>
    <row r="718" spans="1:33" ht="15.75" customHeight="1">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c r="AD718" s="127"/>
      <c r="AE718" s="127"/>
      <c r="AF718" s="127"/>
      <c r="AG718" s="127"/>
    </row>
    <row r="719" spans="1:33" ht="15.75" customHeight="1">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c r="AD719" s="127"/>
      <c r="AE719" s="127"/>
      <c r="AF719" s="127"/>
      <c r="AG719" s="127"/>
    </row>
    <row r="720" spans="1:33" ht="15.75" customHeight="1">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c r="AD720" s="127"/>
      <c r="AE720" s="127"/>
      <c r="AF720" s="127"/>
      <c r="AG720" s="127"/>
    </row>
    <row r="721" spans="1:33" ht="15.75" customHeight="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c r="AD721" s="127"/>
      <c r="AE721" s="127"/>
      <c r="AF721" s="127"/>
      <c r="AG721" s="127"/>
    </row>
    <row r="722" spans="1:33" ht="15.75" customHeight="1">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c r="AD722" s="127"/>
      <c r="AE722" s="127"/>
      <c r="AF722" s="127"/>
      <c r="AG722" s="127"/>
    </row>
    <row r="723" spans="1:33" ht="15.75" customHeight="1">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c r="AD723" s="127"/>
      <c r="AE723" s="127"/>
      <c r="AF723" s="127"/>
      <c r="AG723" s="127"/>
    </row>
    <row r="724" spans="1:33" ht="15.75" customHeight="1">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c r="AD724" s="127"/>
      <c r="AE724" s="127"/>
      <c r="AF724" s="127"/>
      <c r="AG724" s="127"/>
    </row>
    <row r="725" spans="1:33" ht="15.75" customHeight="1">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c r="AD725" s="127"/>
      <c r="AE725" s="127"/>
      <c r="AF725" s="127"/>
      <c r="AG725" s="127"/>
    </row>
    <row r="726" spans="1:33" ht="15.75" customHeight="1">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c r="AD726" s="127"/>
      <c r="AE726" s="127"/>
      <c r="AF726" s="127"/>
      <c r="AG726" s="127"/>
    </row>
    <row r="727" spans="1:33" ht="15.75" customHeight="1">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c r="AD727" s="127"/>
      <c r="AE727" s="127"/>
      <c r="AF727" s="127"/>
      <c r="AG727" s="127"/>
    </row>
    <row r="728" spans="1:33" ht="15.75" customHeight="1">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c r="AD728" s="127"/>
      <c r="AE728" s="127"/>
      <c r="AF728" s="127"/>
      <c r="AG728" s="127"/>
    </row>
    <row r="729" spans="1:33" ht="15.75" customHeight="1">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c r="AD729" s="127"/>
      <c r="AE729" s="127"/>
      <c r="AF729" s="127"/>
      <c r="AG729" s="127"/>
    </row>
    <row r="730" spans="1:33" ht="15.75" customHeight="1">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c r="AD730" s="127"/>
      <c r="AE730" s="127"/>
      <c r="AF730" s="127"/>
      <c r="AG730" s="127"/>
    </row>
    <row r="731" spans="1:33" ht="15.75" customHeight="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c r="AD731" s="127"/>
      <c r="AE731" s="127"/>
      <c r="AF731" s="127"/>
      <c r="AG731" s="127"/>
    </row>
    <row r="732" spans="1:33" ht="15.75" customHeight="1">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c r="AD732" s="127"/>
      <c r="AE732" s="127"/>
      <c r="AF732" s="127"/>
      <c r="AG732" s="127"/>
    </row>
    <row r="733" spans="1:33" ht="15.75" customHeight="1">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c r="AD733" s="127"/>
      <c r="AE733" s="127"/>
      <c r="AF733" s="127"/>
      <c r="AG733" s="127"/>
    </row>
    <row r="734" spans="1:33" ht="15.75" customHeight="1">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c r="AD734" s="127"/>
      <c r="AE734" s="127"/>
      <c r="AF734" s="127"/>
      <c r="AG734" s="127"/>
    </row>
    <row r="735" spans="1:33" ht="15.75" customHeight="1">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c r="AD735" s="127"/>
      <c r="AE735" s="127"/>
      <c r="AF735" s="127"/>
      <c r="AG735" s="127"/>
    </row>
    <row r="736" spans="1:33" ht="15.75" customHeight="1">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c r="AD736" s="127"/>
      <c r="AE736" s="127"/>
      <c r="AF736" s="127"/>
      <c r="AG736" s="127"/>
    </row>
    <row r="737" spans="1:33" ht="15.75" customHeight="1">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c r="AD737" s="127"/>
      <c r="AE737" s="127"/>
      <c r="AF737" s="127"/>
      <c r="AG737" s="127"/>
    </row>
    <row r="738" spans="1:33" ht="15.75" customHeight="1">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c r="AD738" s="127"/>
      <c r="AE738" s="127"/>
      <c r="AF738" s="127"/>
      <c r="AG738" s="127"/>
    </row>
    <row r="739" spans="1:33" ht="15.75" customHeight="1">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c r="AD739" s="127"/>
      <c r="AE739" s="127"/>
      <c r="AF739" s="127"/>
      <c r="AG739" s="127"/>
    </row>
    <row r="740" spans="1:33" ht="15.75" customHeight="1">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c r="AD740" s="127"/>
      <c r="AE740" s="127"/>
      <c r="AF740" s="127"/>
      <c r="AG740" s="127"/>
    </row>
    <row r="741" spans="1:33" ht="15.75" customHeight="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c r="AD741" s="127"/>
      <c r="AE741" s="127"/>
      <c r="AF741" s="127"/>
      <c r="AG741" s="127"/>
    </row>
    <row r="742" spans="1:33" ht="15.75" customHeight="1">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c r="AD742" s="127"/>
      <c r="AE742" s="127"/>
      <c r="AF742" s="127"/>
      <c r="AG742" s="127"/>
    </row>
    <row r="743" spans="1:33" ht="15.75" customHeight="1">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c r="AD743" s="127"/>
      <c r="AE743" s="127"/>
      <c r="AF743" s="127"/>
      <c r="AG743" s="127"/>
    </row>
    <row r="744" spans="1:33" ht="15.75" customHeight="1">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c r="AD744" s="127"/>
      <c r="AE744" s="127"/>
      <c r="AF744" s="127"/>
      <c r="AG744" s="127"/>
    </row>
    <row r="745" spans="1:33" ht="15.75" customHeight="1">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c r="AD745" s="127"/>
      <c r="AE745" s="127"/>
      <c r="AF745" s="127"/>
      <c r="AG745" s="127"/>
    </row>
    <row r="746" spans="1:33" ht="15.75" customHeight="1">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c r="AD746" s="127"/>
      <c r="AE746" s="127"/>
      <c r="AF746" s="127"/>
      <c r="AG746" s="127"/>
    </row>
    <row r="747" spans="1:33" ht="15.75" customHeight="1">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c r="AD747" s="127"/>
      <c r="AE747" s="127"/>
      <c r="AF747" s="127"/>
      <c r="AG747" s="127"/>
    </row>
    <row r="748" spans="1:33" ht="15.75" customHeight="1">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c r="AD748" s="127"/>
      <c r="AE748" s="127"/>
      <c r="AF748" s="127"/>
      <c r="AG748" s="127"/>
    </row>
    <row r="749" spans="1:33" ht="15.75" customHeight="1">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c r="AD749" s="127"/>
      <c r="AE749" s="127"/>
      <c r="AF749" s="127"/>
      <c r="AG749" s="127"/>
    </row>
    <row r="750" spans="1:33" ht="15.75" customHeight="1">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c r="AD750" s="127"/>
      <c r="AE750" s="127"/>
      <c r="AF750" s="127"/>
      <c r="AG750" s="127"/>
    </row>
    <row r="751" spans="1:33" ht="15.75" customHeight="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c r="AD751" s="127"/>
      <c r="AE751" s="127"/>
      <c r="AF751" s="127"/>
      <c r="AG751" s="127"/>
    </row>
    <row r="752" spans="1:33" ht="15.75" customHeight="1">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c r="AD752" s="127"/>
      <c r="AE752" s="127"/>
      <c r="AF752" s="127"/>
      <c r="AG752" s="127"/>
    </row>
    <row r="753" spans="1:33" ht="15.75" customHeight="1">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c r="AD753" s="127"/>
      <c r="AE753" s="127"/>
      <c r="AF753" s="127"/>
      <c r="AG753" s="127"/>
    </row>
    <row r="754" spans="1:33" ht="15.75" customHeight="1">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c r="AD754" s="127"/>
      <c r="AE754" s="127"/>
      <c r="AF754" s="127"/>
      <c r="AG754" s="127"/>
    </row>
    <row r="755" spans="1:33" ht="15.75" customHeight="1">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c r="AD755" s="127"/>
      <c r="AE755" s="127"/>
      <c r="AF755" s="127"/>
      <c r="AG755" s="127"/>
    </row>
    <row r="756" spans="1:33" ht="15.75" customHeight="1">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c r="AD756" s="127"/>
      <c r="AE756" s="127"/>
      <c r="AF756" s="127"/>
      <c r="AG756" s="127"/>
    </row>
    <row r="757" spans="1:33" ht="15.75" customHeight="1">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c r="AD757" s="127"/>
      <c r="AE757" s="127"/>
      <c r="AF757" s="127"/>
      <c r="AG757" s="127"/>
    </row>
    <row r="758" spans="1:33" ht="15.75" customHeight="1">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c r="AD758" s="127"/>
      <c r="AE758" s="127"/>
      <c r="AF758" s="127"/>
      <c r="AG758" s="127"/>
    </row>
    <row r="759" spans="1:33" ht="15.75" customHeight="1">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c r="AD759" s="127"/>
      <c r="AE759" s="127"/>
      <c r="AF759" s="127"/>
      <c r="AG759" s="127"/>
    </row>
    <row r="760" spans="1:33" ht="15.75" customHeight="1">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c r="AD760" s="127"/>
      <c r="AE760" s="127"/>
      <c r="AF760" s="127"/>
      <c r="AG760" s="127"/>
    </row>
    <row r="761" spans="1:33" ht="15.75" customHeight="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c r="AD761" s="127"/>
      <c r="AE761" s="127"/>
      <c r="AF761" s="127"/>
      <c r="AG761" s="127"/>
    </row>
    <row r="762" spans="1:33" ht="15.75" customHeight="1">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c r="AD762" s="127"/>
      <c r="AE762" s="127"/>
      <c r="AF762" s="127"/>
      <c r="AG762" s="127"/>
    </row>
    <row r="763" spans="1:33" ht="15.75" customHeight="1">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c r="AD763" s="127"/>
      <c r="AE763" s="127"/>
      <c r="AF763" s="127"/>
      <c r="AG763" s="127"/>
    </row>
    <row r="764" spans="1:33" ht="15.75" customHeight="1">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c r="AD764" s="127"/>
      <c r="AE764" s="127"/>
      <c r="AF764" s="127"/>
      <c r="AG764" s="127"/>
    </row>
    <row r="765" spans="1:33" ht="15.75" customHeight="1">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c r="AD765" s="127"/>
      <c r="AE765" s="127"/>
      <c r="AF765" s="127"/>
      <c r="AG765" s="127"/>
    </row>
    <row r="766" spans="1:33" ht="15.75" customHeight="1">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c r="AD766" s="127"/>
      <c r="AE766" s="127"/>
      <c r="AF766" s="127"/>
      <c r="AG766" s="127"/>
    </row>
    <row r="767" spans="1:33" ht="15.75" customHeight="1">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c r="AD767" s="127"/>
      <c r="AE767" s="127"/>
      <c r="AF767" s="127"/>
      <c r="AG767" s="127"/>
    </row>
    <row r="768" spans="1:33" ht="15.75" customHeight="1">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c r="AD768" s="127"/>
      <c r="AE768" s="127"/>
      <c r="AF768" s="127"/>
      <c r="AG768" s="127"/>
    </row>
    <row r="769" spans="1:33" ht="15.75" customHeight="1">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c r="AD769" s="127"/>
      <c r="AE769" s="127"/>
      <c r="AF769" s="127"/>
      <c r="AG769" s="127"/>
    </row>
    <row r="770" spans="1:33" ht="15.75" customHeight="1">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c r="AD770" s="127"/>
      <c r="AE770" s="127"/>
      <c r="AF770" s="127"/>
      <c r="AG770" s="127"/>
    </row>
    <row r="771" spans="1:33" ht="15.75" customHeight="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c r="AD771" s="127"/>
      <c r="AE771" s="127"/>
      <c r="AF771" s="127"/>
      <c r="AG771" s="127"/>
    </row>
    <row r="772" spans="1:33" ht="15.75" customHeight="1">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c r="AD772" s="127"/>
      <c r="AE772" s="127"/>
      <c r="AF772" s="127"/>
      <c r="AG772" s="127"/>
    </row>
    <row r="773" spans="1:33" ht="15.75" customHeight="1">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c r="AD773" s="127"/>
      <c r="AE773" s="127"/>
      <c r="AF773" s="127"/>
      <c r="AG773" s="127"/>
    </row>
    <row r="774" spans="1:33" ht="15.75" customHeight="1">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c r="AD774" s="127"/>
      <c r="AE774" s="127"/>
      <c r="AF774" s="127"/>
      <c r="AG774" s="127"/>
    </row>
    <row r="775" spans="1:33" ht="15.75" customHeight="1">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c r="AD775" s="127"/>
      <c r="AE775" s="127"/>
      <c r="AF775" s="127"/>
      <c r="AG775" s="127"/>
    </row>
    <row r="776" spans="1:33" ht="15.75" customHeight="1">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c r="AD776" s="127"/>
      <c r="AE776" s="127"/>
      <c r="AF776" s="127"/>
      <c r="AG776" s="127"/>
    </row>
    <row r="777" spans="1:33" ht="15.75" customHeight="1">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c r="AD777" s="127"/>
      <c r="AE777" s="127"/>
      <c r="AF777" s="127"/>
      <c r="AG777" s="127"/>
    </row>
    <row r="778" spans="1:33" ht="15.75" customHeight="1">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c r="AD778" s="127"/>
      <c r="AE778" s="127"/>
      <c r="AF778" s="127"/>
      <c r="AG778" s="127"/>
    </row>
    <row r="779" spans="1:33" ht="15.75" customHeight="1">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c r="AD779" s="127"/>
      <c r="AE779" s="127"/>
      <c r="AF779" s="127"/>
      <c r="AG779" s="127"/>
    </row>
    <row r="780" spans="1:33" ht="15.75" customHeight="1">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c r="AD780" s="127"/>
      <c r="AE780" s="127"/>
      <c r="AF780" s="127"/>
      <c r="AG780" s="127"/>
    </row>
    <row r="781" spans="1:33" ht="15.75" customHeight="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c r="AD781" s="127"/>
      <c r="AE781" s="127"/>
      <c r="AF781" s="127"/>
      <c r="AG781" s="127"/>
    </row>
    <row r="782" spans="1:33" ht="15.75" customHeight="1">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c r="AD782" s="127"/>
      <c r="AE782" s="127"/>
      <c r="AF782" s="127"/>
      <c r="AG782" s="127"/>
    </row>
    <row r="783" spans="1:33" ht="15.75" customHeight="1">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c r="AD783" s="127"/>
      <c r="AE783" s="127"/>
      <c r="AF783" s="127"/>
      <c r="AG783" s="127"/>
    </row>
    <row r="784" spans="1:33" ht="15.75" customHeight="1">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c r="AD784" s="127"/>
      <c r="AE784" s="127"/>
      <c r="AF784" s="127"/>
      <c r="AG784" s="127"/>
    </row>
    <row r="785" spans="1:33" ht="15.75" customHeight="1">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c r="AD785" s="127"/>
      <c r="AE785" s="127"/>
      <c r="AF785" s="127"/>
      <c r="AG785" s="127"/>
    </row>
    <row r="786" spans="1:33" ht="15.75" customHeight="1">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c r="AD786" s="127"/>
      <c r="AE786" s="127"/>
      <c r="AF786" s="127"/>
      <c r="AG786" s="127"/>
    </row>
    <row r="787" spans="1:33" ht="15.75" customHeight="1">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c r="AD787" s="127"/>
      <c r="AE787" s="127"/>
      <c r="AF787" s="127"/>
      <c r="AG787" s="127"/>
    </row>
    <row r="788" spans="1:33" ht="15.75" customHeight="1">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c r="AD788" s="127"/>
      <c r="AE788" s="127"/>
      <c r="AF788" s="127"/>
      <c r="AG788" s="127"/>
    </row>
    <row r="789" spans="1:33" ht="15.75" customHeight="1">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c r="AD789" s="127"/>
      <c r="AE789" s="127"/>
      <c r="AF789" s="127"/>
      <c r="AG789" s="127"/>
    </row>
    <row r="790" spans="1:33" ht="15.75" customHeight="1">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c r="AD790" s="127"/>
      <c r="AE790" s="127"/>
      <c r="AF790" s="127"/>
      <c r="AG790" s="127"/>
    </row>
    <row r="791" spans="1:33" ht="15.75" customHeight="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c r="AD791" s="127"/>
      <c r="AE791" s="127"/>
      <c r="AF791" s="127"/>
      <c r="AG791" s="127"/>
    </row>
    <row r="792" spans="1:33" ht="15.75" customHeight="1">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c r="AD792" s="127"/>
      <c r="AE792" s="127"/>
      <c r="AF792" s="127"/>
      <c r="AG792" s="127"/>
    </row>
    <row r="793" spans="1:33" ht="15.75" customHeight="1">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c r="AD793" s="127"/>
      <c r="AE793" s="127"/>
      <c r="AF793" s="127"/>
      <c r="AG793" s="127"/>
    </row>
    <row r="794" spans="1:33" ht="15.75" customHeight="1">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c r="AD794" s="127"/>
      <c r="AE794" s="127"/>
      <c r="AF794" s="127"/>
      <c r="AG794" s="127"/>
    </row>
    <row r="795" spans="1:33" ht="15.75" customHeight="1">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c r="AD795" s="127"/>
      <c r="AE795" s="127"/>
      <c r="AF795" s="127"/>
      <c r="AG795" s="127"/>
    </row>
    <row r="796" spans="1:33" ht="15.75" customHeight="1">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c r="AD796" s="127"/>
      <c r="AE796" s="127"/>
      <c r="AF796" s="127"/>
      <c r="AG796" s="127"/>
    </row>
    <row r="797" spans="1:33" ht="15.75" customHeight="1">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c r="AD797" s="127"/>
      <c r="AE797" s="127"/>
      <c r="AF797" s="127"/>
      <c r="AG797" s="127"/>
    </row>
    <row r="798" spans="1:33" ht="15.75" customHeight="1">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c r="AD798" s="127"/>
      <c r="AE798" s="127"/>
      <c r="AF798" s="127"/>
      <c r="AG798" s="127"/>
    </row>
    <row r="799" spans="1:33" ht="15.75" customHeight="1">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c r="AD799" s="127"/>
      <c r="AE799" s="127"/>
      <c r="AF799" s="127"/>
      <c r="AG799" s="127"/>
    </row>
    <row r="800" spans="1:33" ht="15.75" customHeight="1">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c r="AD800" s="127"/>
      <c r="AE800" s="127"/>
      <c r="AF800" s="127"/>
      <c r="AG800" s="127"/>
    </row>
    <row r="801" spans="1:33" ht="15.75" customHeight="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c r="AD801" s="127"/>
      <c r="AE801" s="127"/>
      <c r="AF801" s="127"/>
      <c r="AG801" s="127"/>
    </row>
    <row r="802" spans="1:33" ht="15.75" customHeight="1">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c r="AD802" s="127"/>
      <c r="AE802" s="127"/>
      <c r="AF802" s="127"/>
      <c r="AG802" s="127"/>
    </row>
    <row r="803" spans="1:33" ht="15.75" customHeight="1">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c r="AD803" s="127"/>
      <c r="AE803" s="127"/>
      <c r="AF803" s="127"/>
      <c r="AG803" s="127"/>
    </row>
    <row r="804" spans="1:33" ht="15.75" customHeight="1">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c r="AD804" s="127"/>
      <c r="AE804" s="127"/>
      <c r="AF804" s="127"/>
      <c r="AG804" s="127"/>
    </row>
    <row r="805" spans="1:33" ht="15.75" customHeight="1">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c r="AD805" s="127"/>
      <c r="AE805" s="127"/>
      <c r="AF805" s="127"/>
      <c r="AG805" s="127"/>
    </row>
    <row r="806" spans="1:33" ht="15.75" customHeight="1">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c r="AD806" s="127"/>
      <c r="AE806" s="127"/>
      <c r="AF806" s="127"/>
      <c r="AG806" s="127"/>
    </row>
    <row r="807" spans="1:33" ht="15.75" customHeight="1">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c r="AD807" s="127"/>
      <c r="AE807" s="127"/>
      <c r="AF807" s="127"/>
      <c r="AG807" s="127"/>
    </row>
    <row r="808" spans="1:33" ht="15.75" customHeight="1">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c r="AD808" s="127"/>
      <c r="AE808" s="127"/>
      <c r="AF808" s="127"/>
      <c r="AG808" s="127"/>
    </row>
    <row r="809" spans="1:33" ht="15.75" customHeight="1">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c r="AD809" s="127"/>
      <c r="AE809" s="127"/>
      <c r="AF809" s="127"/>
      <c r="AG809" s="127"/>
    </row>
    <row r="810" spans="1:33" ht="15.75" customHeight="1">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c r="AD810" s="127"/>
      <c r="AE810" s="127"/>
      <c r="AF810" s="127"/>
      <c r="AG810" s="127"/>
    </row>
    <row r="811" spans="1:33" ht="15.75" customHeight="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c r="AD811" s="127"/>
      <c r="AE811" s="127"/>
      <c r="AF811" s="127"/>
      <c r="AG811" s="127"/>
    </row>
    <row r="812" spans="1:33" ht="15.75" customHeight="1">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c r="AD812" s="127"/>
      <c r="AE812" s="127"/>
      <c r="AF812" s="127"/>
      <c r="AG812" s="127"/>
    </row>
    <row r="813" spans="1:33" ht="15.75" customHeight="1">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c r="AD813" s="127"/>
      <c r="AE813" s="127"/>
      <c r="AF813" s="127"/>
      <c r="AG813" s="127"/>
    </row>
    <row r="814" spans="1:33" ht="15.75" customHeight="1">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c r="AD814" s="127"/>
      <c r="AE814" s="127"/>
      <c r="AF814" s="127"/>
      <c r="AG814" s="127"/>
    </row>
    <row r="815" spans="1:33" ht="15.75" customHeight="1">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c r="AD815" s="127"/>
      <c r="AE815" s="127"/>
      <c r="AF815" s="127"/>
      <c r="AG815" s="127"/>
    </row>
    <row r="816" spans="1:33" ht="15.75" customHeight="1">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c r="AD816" s="127"/>
      <c r="AE816" s="127"/>
      <c r="AF816" s="127"/>
      <c r="AG816" s="127"/>
    </row>
    <row r="817" spans="1:33" ht="15.75" customHeight="1">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c r="AD817" s="127"/>
      <c r="AE817" s="127"/>
      <c r="AF817" s="127"/>
      <c r="AG817" s="127"/>
    </row>
    <row r="818" spans="1:33" ht="15.75" customHeight="1">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c r="AD818" s="127"/>
      <c r="AE818" s="127"/>
      <c r="AF818" s="127"/>
      <c r="AG818" s="127"/>
    </row>
    <row r="819" spans="1:33" ht="15.75" customHeight="1">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c r="AD819" s="127"/>
      <c r="AE819" s="127"/>
      <c r="AF819" s="127"/>
      <c r="AG819" s="127"/>
    </row>
    <row r="820" spans="1:33" ht="15.75" customHeight="1">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c r="AD820" s="127"/>
      <c r="AE820" s="127"/>
      <c r="AF820" s="127"/>
      <c r="AG820" s="127"/>
    </row>
    <row r="821" spans="1:33" ht="15.75" customHeight="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c r="AD821" s="127"/>
      <c r="AE821" s="127"/>
      <c r="AF821" s="127"/>
      <c r="AG821" s="127"/>
    </row>
    <row r="822" spans="1:33" ht="15.75" customHeight="1">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c r="AD822" s="127"/>
      <c r="AE822" s="127"/>
      <c r="AF822" s="127"/>
      <c r="AG822" s="127"/>
    </row>
    <row r="823" spans="1:33" ht="15.75" customHeight="1">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c r="AD823" s="127"/>
      <c r="AE823" s="127"/>
      <c r="AF823" s="127"/>
      <c r="AG823" s="127"/>
    </row>
    <row r="824" spans="1:33" ht="15.75" customHeight="1">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c r="AD824" s="127"/>
      <c r="AE824" s="127"/>
      <c r="AF824" s="127"/>
      <c r="AG824" s="127"/>
    </row>
    <row r="825" spans="1:33" ht="15.75" customHeight="1">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c r="AD825" s="127"/>
      <c r="AE825" s="127"/>
      <c r="AF825" s="127"/>
      <c r="AG825" s="127"/>
    </row>
    <row r="826" spans="1:33" ht="15.75" customHeight="1">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c r="AD826" s="127"/>
      <c r="AE826" s="127"/>
      <c r="AF826" s="127"/>
      <c r="AG826" s="127"/>
    </row>
    <row r="827" spans="1:33" ht="15.75" customHeight="1">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c r="AD827" s="127"/>
      <c r="AE827" s="127"/>
      <c r="AF827" s="127"/>
      <c r="AG827" s="127"/>
    </row>
    <row r="828" spans="1:33" ht="15.75" customHeight="1">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c r="AD828" s="127"/>
      <c r="AE828" s="127"/>
      <c r="AF828" s="127"/>
      <c r="AG828" s="127"/>
    </row>
    <row r="829" spans="1:33" ht="15.75" customHeight="1">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c r="AD829" s="127"/>
      <c r="AE829" s="127"/>
      <c r="AF829" s="127"/>
      <c r="AG829" s="127"/>
    </row>
    <row r="830" spans="1:33" ht="15.75" customHeight="1">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c r="AD830" s="127"/>
      <c r="AE830" s="127"/>
      <c r="AF830" s="127"/>
      <c r="AG830" s="127"/>
    </row>
    <row r="831" spans="1:33" ht="15.75" customHeight="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c r="AD831" s="127"/>
      <c r="AE831" s="127"/>
      <c r="AF831" s="127"/>
      <c r="AG831" s="127"/>
    </row>
    <row r="832" spans="1:33" ht="15.75" customHeight="1">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c r="AA832" s="127"/>
      <c r="AB832" s="127"/>
      <c r="AC832" s="127"/>
      <c r="AD832" s="127"/>
      <c r="AE832" s="127"/>
      <c r="AF832" s="127"/>
      <c r="AG832" s="127"/>
    </row>
    <row r="833" spans="1:33" ht="15.75" customHeight="1">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c r="AA833" s="127"/>
      <c r="AB833" s="127"/>
      <c r="AC833" s="127"/>
      <c r="AD833" s="127"/>
      <c r="AE833" s="127"/>
      <c r="AF833" s="127"/>
      <c r="AG833" s="127"/>
    </row>
    <row r="834" spans="1:33" ht="15.75" customHeight="1">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c r="AA834" s="127"/>
      <c r="AB834" s="127"/>
      <c r="AC834" s="127"/>
      <c r="AD834" s="127"/>
      <c r="AE834" s="127"/>
      <c r="AF834" s="127"/>
      <c r="AG834" s="127"/>
    </row>
    <row r="835" spans="1:33" ht="15.75" customHeight="1">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c r="AA835" s="127"/>
      <c r="AB835" s="127"/>
      <c r="AC835" s="127"/>
      <c r="AD835" s="127"/>
      <c r="AE835" s="127"/>
      <c r="AF835" s="127"/>
      <c r="AG835" s="127"/>
    </row>
    <row r="836" spans="1:33" ht="15.75" customHeight="1">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c r="AA836" s="127"/>
      <c r="AB836" s="127"/>
      <c r="AC836" s="127"/>
      <c r="AD836" s="127"/>
      <c r="AE836" s="127"/>
      <c r="AF836" s="127"/>
      <c r="AG836" s="127"/>
    </row>
    <row r="837" spans="1:33" ht="15.75" customHeight="1">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c r="AA837" s="127"/>
      <c r="AB837" s="127"/>
      <c r="AC837" s="127"/>
      <c r="AD837" s="127"/>
      <c r="AE837" s="127"/>
      <c r="AF837" s="127"/>
      <c r="AG837" s="127"/>
    </row>
    <row r="838" spans="1:33" ht="15.75" customHeight="1">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c r="AA838" s="127"/>
      <c r="AB838" s="127"/>
      <c r="AC838" s="127"/>
      <c r="AD838" s="127"/>
      <c r="AE838" s="127"/>
      <c r="AF838" s="127"/>
      <c r="AG838" s="127"/>
    </row>
    <row r="839" spans="1:33" ht="15.75" customHeight="1">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c r="AA839" s="127"/>
      <c r="AB839" s="127"/>
      <c r="AC839" s="127"/>
      <c r="AD839" s="127"/>
      <c r="AE839" s="127"/>
      <c r="AF839" s="127"/>
      <c r="AG839" s="127"/>
    </row>
    <row r="840" spans="1:33" ht="15.75" customHeight="1">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c r="AA840" s="127"/>
      <c r="AB840" s="127"/>
      <c r="AC840" s="127"/>
      <c r="AD840" s="127"/>
      <c r="AE840" s="127"/>
      <c r="AF840" s="127"/>
      <c r="AG840" s="127"/>
    </row>
    <row r="841" spans="1:33" ht="15.75" customHeight="1">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c r="AA841" s="127"/>
      <c r="AB841" s="127"/>
      <c r="AC841" s="127"/>
      <c r="AD841" s="127"/>
      <c r="AE841" s="127"/>
      <c r="AF841" s="127"/>
      <c r="AG841" s="127"/>
    </row>
    <row r="842" spans="1:33" ht="15.75" customHeight="1">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c r="AA842" s="127"/>
      <c r="AB842" s="127"/>
      <c r="AC842" s="127"/>
      <c r="AD842" s="127"/>
      <c r="AE842" s="127"/>
      <c r="AF842" s="127"/>
      <c r="AG842" s="127"/>
    </row>
    <row r="843" spans="1:33" ht="15.75" customHeight="1">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c r="AA843" s="127"/>
      <c r="AB843" s="127"/>
      <c r="AC843" s="127"/>
      <c r="AD843" s="127"/>
      <c r="AE843" s="127"/>
      <c r="AF843" s="127"/>
      <c r="AG843" s="127"/>
    </row>
    <row r="844" spans="1:33" ht="15.75" customHeight="1">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c r="AA844" s="127"/>
      <c r="AB844" s="127"/>
      <c r="AC844" s="127"/>
      <c r="AD844" s="127"/>
      <c r="AE844" s="127"/>
      <c r="AF844" s="127"/>
      <c r="AG844" s="127"/>
    </row>
    <row r="845" spans="1:33" ht="15.75" customHeight="1">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c r="AA845" s="127"/>
      <c r="AB845" s="127"/>
      <c r="AC845" s="127"/>
      <c r="AD845" s="127"/>
      <c r="AE845" s="127"/>
      <c r="AF845" s="127"/>
      <c r="AG845" s="127"/>
    </row>
    <row r="846" spans="1:33" ht="15.75" customHeight="1">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c r="AA846" s="127"/>
      <c r="AB846" s="127"/>
      <c r="AC846" s="127"/>
      <c r="AD846" s="127"/>
      <c r="AE846" s="127"/>
      <c r="AF846" s="127"/>
      <c r="AG846" s="127"/>
    </row>
    <row r="847" spans="1:33" ht="15.75" customHeight="1">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c r="AA847" s="127"/>
      <c r="AB847" s="127"/>
      <c r="AC847" s="127"/>
      <c r="AD847" s="127"/>
      <c r="AE847" s="127"/>
      <c r="AF847" s="127"/>
      <c r="AG847" s="127"/>
    </row>
    <row r="848" spans="1:33" ht="15.75" customHeight="1">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c r="AA848" s="127"/>
      <c r="AB848" s="127"/>
      <c r="AC848" s="127"/>
      <c r="AD848" s="127"/>
      <c r="AE848" s="127"/>
      <c r="AF848" s="127"/>
      <c r="AG848" s="127"/>
    </row>
    <row r="849" spans="1:33" ht="15.75" customHeight="1">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c r="AA849" s="127"/>
      <c r="AB849" s="127"/>
      <c r="AC849" s="127"/>
      <c r="AD849" s="127"/>
      <c r="AE849" s="127"/>
      <c r="AF849" s="127"/>
      <c r="AG849" s="127"/>
    </row>
    <row r="850" spans="1:33" ht="15.75" customHeight="1">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c r="AA850" s="127"/>
      <c r="AB850" s="127"/>
      <c r="AC850" s="127"/>
      <c r="AD850" s="127"/>
      <c r="AE850" s="127"/>
      <c r="AF850" s="127"/>
      <c r="AG850" s="127"/>
    </row>
    <row r="851" spans="1:33" ht="15.75" customHeight="1">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c r="AA851" s="127"/>
      <c r="AB851" s="127"/>
      <c r="AC851" s="127"/>
      <c r="AD851" s="127"/>
      <c r="AE851" s="127"/>
      <c r="AF851" s="127"/>
      <c r="AG851" s="127"/>
    </row>
    <row r="852" spans="1:33" ht="15.75" customHeight="1">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c r="AA852" s="127"/>
      <c r="AB852" s="127"/>
      <c r="AC852" s="127"/>
      <c r="AD852" s="127"/>
      <c r="AE852" s="127"/>
      <c r="AF852" s="127"/>
      <c r="AG852" s="127"/>
    </row>
    <row r="853" spans="1:33" ht="15.75" customHeight="1">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c r="AA853" s="127"/>
      <c r="AB853" s="127"/>
      <c r="AC853" s="127"/>
      <c r="AD853" s="127"/>
      <c r="AE853" s="127"/>
      <c r="AF853" s="127"/>
      <c r="AG853" s="127"/>
    </row>
    <row r="854" spans="1:33" ht="15.75" customHeight="1">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c r="AA854" s="127"/>
      <c r="AB854" s="127"/>
      <c r="AC854" s="127"/>
      <c r="AD854" s="127"/>
      <c r="AE854" s="127"/>
      <c r="AF854" s="127"/>
      <c r="AG854" s="127"/>
    </row>
    <row r="855" spans="1:33" ht="15.75" customHeight="1">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c r="AA855" s="127"/>
      <c r="AB855" s="127"/>
      <c r="AC855" s="127"/>
      <c r="AD855" s="127"/>
      <c r="AE855" s="127"/>
      <c r="AF855" s="127"/>
      <c r="AG855" s="127"/>
    </row>
    <row r="856" spans="1:33" ht="15.75" customHeight="1">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c r="AA856" s="127"/>
      <c r="AB856" s="127"/>
      <c r="AC856" s="127"/>
      <c r="AD856" s="127"/>
      <c r="AE856" s="127"/>
      <c r="AF856" s="127"/>
      <c r="AG856" s="127"/>
    </row>
    <row r="857" spans="1:33" ht="15.75" customHeight="1">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c r="AA857" s="127"/>
      <c r="AB857" s="127"/>
      <c r="AC857" s="127"/>
      <c r="AD857" s="127"/>
      <c r="AE857" s="127"/>
      <c r="AF857" s="127"/>
      <c r="AG857" s="127"/>
    </row>
    <row r="858" spans="1:33" ht="15.75" customHeight="1">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c r="AA858" s="127"/>
      <c r="AB858" s="127"/>
      <c r="AC858" s="127"/>
      <c r="AD858" s="127"/>
      <c r="AE858" s="127"/>
      <c r="AF858" s="127"/>
      <c r="AG858" s="127"/>
    </row>
    <row r="859" spans="1:33" ht="15.75" customHeight="1">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c r="AA859" s="127"/>
      <c r="AB859" s="127"/>
      <c r="AC859" s="127"/>
      <c r="AD859" s="127"/>
      <c r="AE859" s="127"/>
      <c r="AF859" s="127"/>
      <c r="AG859" s="127"/>
    </row>
    <row r="860" spans="1:33" ht="15.75" customHeight="1">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c r="AA860" s="127"/>
      <c r="AB860" s="127"/>
      <c r="AC860" s="127"/>
      <c r="AD860" s="127"/>
      <c r="AE860" s="127"/>
      <c r="AF860" s="127"/>
      <c r="AG860" s="127"/>
    </row>
    <row r="861" spans="1:33" ht="15.75" customHeight="1">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c r="AA861" s="127"/>
      <c r="AB861" s="127"/>
      <c r="AC861" s="127"/>
      <c r="AD861" s="127"/>
      <c r="AE861" s="127"/>
      <c r="AF861" s="127"/>
      <c r="AG861" s="127"/>
    </row>
    <row r="862" spans="1:33" ht="15.75" customHeight="1">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c r="AA862" s="127"/>
      <c r="AB862" s="127"/>
      <c r="AC862" s="127"/>
      <c r="AD862" s="127"/>
      <c r="AE862" s="127"/>
      <c r="AF862" s="127"/>
      <c r="AG862" s="127"/>
    </row>
    <row r="863" spans="1:33" ht="15.75" customHeight="1">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c r="AA863" s="127"/>
      <c r="AB863" s="127"/>
      <c r="AC863" s="127"/>
      <c r="AD863" s="127"/>
      <c r="AE863" s="127"/>
      <c r="AF863" s="127"/>
      <c r="AG863" s="127"/>
    </row>
    <row r="864" spans="1:33" ht="15.75" customHeight="1">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c r="AA864" s="127"/>
      <c r="AB864" s="127"/>
      <c r="AC864" s="127"/>
      <c r="AD864" s="127"/>
      <c r="AE864" s="127"/>
      <c r="AF864" s="127"/>
      <c r="AG864" s="127"/>
    </row>
    <row r="865" spans="1:33" ht="15.75" customHeight="1">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c r="AA865" s="127"/>
      <c r="AB865" s="127"/>
      <c r="AC865" s="127"/>
      <c r="AD865" s="127"/>
      <c r="AE865" s="127"/>
      <c r="AF865" s="127"/>
      <c r="AG865" s="127"/>
    </row>
    <row r="866" spans="1:33" ht="15.75" customHeight="1">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c r="AA866" s="127"/>
      <c r="AB866" s="127"/>
      <c r="AC866" s="127"/>
      <c r="AD866" s="127"/>
      <c r="AE866" s="127"/>
      <c r="AF866" s="127"/>
      <c r="AG866" s="127"/>
    </row>
    <row r="867" spans="1:33" ht="15.75" customHeight="1">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c r="AA867" s="127"/>
      <c r="AB867" s="127"/>
      <c r="AC867" s="127"/>
      <c r="AD867" s="127"/>
      <c r="AE867" s="127"/>
      <c r="AF867" s="127"/>
      <c r="AG867" s="127"/>
    </row>
    <row r="868" spans="1:33" ht="15.75" customHeight="1">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c r="AA868" s="127"/>
      <c r="AB868" s="127"/>
      <c r="AC868" s="127"/>
      <c r="AD868" s="127"/>
      <c r="AE868" s="127"/>
      <c r="AF868" s="127"/>
      <c r="AG868" s="127"/>
    </row>
    <row r="869" spans="1:33" ht="15.75" customHeight="1">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c r="AA869" s="127"/>
      <c r="AB869" s="127"/>
      <c r="AC869" s="127"/>
      <c r="AD869" s="127"/>
      <c r="AE869" s="127"/>
      <c r="AF869" s="127"/>
      <c r="AG869" s="127"/>
    </row>
    <row r="870" spans="1:33" ht="15.75" customHeight="1">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c r="AA870" s="127"/>
      <c r="AB870" s="127"/>
      <c r="AC870" s="127"/>
      <c r="AD870" s="127"/>
      <c r="AE870" s="127"/>
      <c r="AF870" s="127"/>
      <c r="AG870" s="127"/>
    </row>
    <row r="871" spans="1:33" ht="15.75" customHeight="1">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c r="AA871" s="127"/>
      <c r="AB871" s="127"/>
      <c r="AC871" s="127"/>
      <c r="AD871" s="127"/>
      <c r="AE871" s="127"/>
      <c r="AF871" s="127"/>
      <c r="AG871" s="127"/>
    </row>
    <row r="872" spans="1:33" ht="15.75" customHeight="1">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c r="AA872" s="127"/>
      <c r="AB872" s="127"/>
      <c r="AC872" s="127"/>
      <c r="AD872" s="127"/>
      <c r="AE872" s="127"/>
      <c r="AF872" s="127"/>
      <c r="AG872" s="127"/>
    </row>
    <row r="873" spans="1:33" ht="15.75" customHeight="1">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c r="AA873" s="127"/>
      <c r="AB873" s="127"/>
      <c r="AC873" s="127"/>
      <c r="AD873" s="127"/>
      <c r="AE873" s="127"/>
      <c r="AF873" s="127"/>
      <c r="AG873" s="127"/>
    </row>
    <row r="874" spans="1:33" ht="15.75" customHeight="1">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c r="AA874" s="127"/>
      <c r="AB874" s="127"/>
      <c r="AC874" s="127"/>
      <c r="AD874" s="127"/>
      <c r="AE874" s="127"/>
      <c r="AF874" s="127"/>
      <c r="AG874" s="127"/>
    </row>
    <row r="875" spans="1:33" ht="15.75" customHeight="1">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c r="AA875" s="127"/>
      <c r="AB875" s="127"/>
      <c r="AC875" s="127"/>
      <c r="AD875" s="127"/>
      <c r="AE875" s="127"/>
      <c r="AF875" s="127"/>
      <c r="AG875" s="127"/>
    </row>
    <row r="876" spans="1:33" ht="15.75" customHeight="1">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c r="AA876" s="127"/>
      <c r="AB876" s="127"/>
      <c r="AC876" s="127"/>
      <c r="AD876" s="127"/>
      <c r="AE876" s="127"/>
      <c r="AF876" s="127"/>
      <c r="AG876" s="127"/>
    </row>
    <row r="877" spans="1:33" ht="15.75" customHeight="1">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c r="AA877" s="127"/>
      <c r="AB877" s="127"/>
      <c r="AC877" s="127"/>
      <c r="AD877" s="127"/>
      <c r="AE877" s="127"/>
      <c r="AF877" s="127"/>
      <c r="AG877" s="127"/>
    </row>
    <row r="878" spans="1:33" ht="15.75" customHeight="1">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c r="AA878" s="127"/>
      <c r="AB878" s="127"/>
      <c r="AC878" s="127"/>
      <c r="AD878" s="127"/>
      <c r="AE878" s="127"/>
      <c r="AF878" s="127"/>
      <c r="AG878" s="127"/>
    </row>
    <row r="879" spans="1:33" ht="15.75" customHeight="1">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c r="AA879" s="127"/>
      <c r="AB879" s="127"/>
      <c r="AC879" s="127"/>
      <c r="AD879" s="127"/>
      <c r="AE879" s="127"/>
      <c r="AF879" s="127"/>
      <c r="AG879" s="127"/>
    </row>
    <row r="880" spans="1:33" ht="15.75" customHeight="1">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c r="AA880" s="127"/>
      <c r="AB880" s="127"/>
      <c r="AC880" s="127"/>
      <c r="AD880" s="127"/>
      <c r="AE880" s="127"/>
      <c r="AF880" s="127"/>
      <c r="AG880" s="127"/>
    </row>
    <row r="881" spans="1:33" ht="15.75" customHeight="1">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c r="AA881" s="127"/>
      <c r="AB881" s="127"/>
      <c r="AC881" s="127"/>
      <c r="AD881" s="127"/>
      <c r="AE881" s="127"/>
      <c r="AF881" s="127"/>
      <c r="AG881" s="127"/>
    </row>
    <row r="882" spans="1:33" ht="15.75" customHeight="1">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c r="AA882" s="127"/>
      <c r="AB882" s="127"/>
      <c r="AC882" s="127"/>
      <c r="AD882" s="127"/>
      <c r="AE882" s="127"/>
      <c r="AF882" s="127"/>
      <c r="AG882" s="127"/>
    </row>
    <row r="883" spans="1:33" ht="15.75" customHeight="1">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c r="AA883" s="127"/>
      <c r="AB883" s="127"/>
      <c r="AC883" s="127"/>
      <c r="AD883" s="127"/>
      <c r="AE883" s="127"/>
      <c r="AF883" s="127"/>
      <c r="AG883" s="127"/>
    </row>
    <row r="884" spans="1:33" ht="15.75" customHeight="1">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c r="AA884" s="127"/>
      <c r="AB884" s="127"/>
      <c r="AC884" s="127"/>
      <c r="AD884" s="127"/>
      <c r="AE884" s="127"/>
      <c r="AF884" s="127"/>
      <c r="AG884" s="127"/>
    </row>
    <row r="885" spans="1:33" ht="15.75" customHeight="1">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c r="AA885" s="127"/>
      <c r="AB885" s="127"/>
      <c r="AC885" s="127"/>
      <c r="AD885" s="127"/>
      <c r="AE885" s="127"/>
      <c r="AF885" s="127"/>
      <c r="AG885" s="127"/>
    </row>
    <row r="886" spans="1:33" ht="15.75" customHeight="1">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c r="AA886" s="127"/>
      <c r="AB886" s="127"/>
      <c r="AC886" s="127"/>
      <c r="AD886" s="127"/>
      <c r="AE886" s="127"/>
      <c r="AF886" s="127"/>
      <c r="AG886" s="127"/>
    </row>
    <row r="887" spans="1:33" ht="15.75" customHeight="1">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c r="AA887" s="127"/>
      <c r="AB887" s="127"/>
      <c r="AC887" s="127"/>
      <c r="AD887" s="127"/>
      <c r="AE887" s="127"/>
      <c r="AF887" s="127"/>
      <c r="AG887" s="127"/>
    </row>
    <row r="888" spans="1:33" ht="15.75" customHeight="1">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c r="AA888" s="127"/>
      <c r="AB888" s="127"/>
      <c r="AC888" s="127"/>
      <c r="AD888" s="127"/>
      <c r="AE888" s="127"/>
      <c r="AF888" s="127"/>
      <c r="AG888" s="127"/>
    </row>
    <row r="889" spans="1:33" ht="15.75" customHeight="1">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c r="AA889" s="127"/>
      <c r="AB889" s="127"/>
      <c r="AC889" s="127"/>
      <c r="AD889" s="127"/>
      <c r="AE889" s="127"/>
      <c r="AF889" s="127"/>
      <c r="AG889" s="127"/>
    </row>
    <row r="890" spans="1:33" ht="15.75" customHeight="1">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c r="AA890" s="127"/>
      <c r="AB890" s="127"/>
      <c r="AC890" s="127"/>
      <c r="AD890" s="127"/>
      <c r="AE890" s="127"/>
      <c r="AF890" s="127"/>
      <c r="AG890" s="127"/>
    </row>
    <row r="891" spans="1:33" ht="15.75" customHeight="1">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c r="AA891" s="127"/>
      <c r="AB891" s="127"/>
      <c r="AC891" s="127"/>
      <c r="AD891" s="127"/>
      <c r="AE891" s="127"/>
      <c r="AF891" s="127"/>
      <c r="AG891" s="127"/>
    </row>
    <row r="892" spans="1:33" ht="15.75" customHeight="1">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c r="AA892" s="127"/>
      <c r="AB892" s="127"/>
      <c r="AC892" s="127"/>
      <c r="AD892" s="127"/>
      <c r="AE892" s="127"/>
      <c r="AF892" s="127"/>
      <c r="AG892" s="127"/>
    </row>
    <row r="893" spans="1:33" ht="15.75" customHeight="1">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c r="AA893" s="127"/>
      <c r="AB893" s="127"/>
      <c r="AC893" s="127"/>
      <c r="AD893" s="127"/>
      <c r="AE893" s="127"/>
      <c r="AF893" s="127"/>
      <c r="AG893" s="127"/>
    </row>
    <row r="894" spans="1:33" ht="15.75" customHeight="1">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c r="AA894" s="127"/>
      <c r="AB894" s="127"/>
      <c r="AC894" s="127"/>
      <c r="AD894" s="127"/>
      <c r="AE894" s="127"/>
      <c r="AF894" s="127"/>
      <c r="AG894" s="127"/>
    </row>
    <row r="895" spans="1:33" ht="15.75" customHeight="1">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c r="AA895" s="127"/>
      <c r="AB895" s="127"/>
      <c r="AC895" s="127"/>
      <c r="AD895" s="127"/>
      <c r="AE895" s="127"/>
      <c r="AF895" s="127"/>
      <c r="AG895" s="127"/>
    </row>
    <row r="896" spans="1:33" ht="15.75" customHeight="1">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c r="AA896" s="127"/>
      <c r="AB896" s="127"/>
      <c r="AC896" s="127"/>
      <c r="AD896" s="127"/>
      <c r="AE896" s="127"/>
      <c r="AF896" s="127"/>
      <c r="AG896" s="127"/>
    </row>
    <row r="897" spans="1:33" ht="15.75" customHeight="1">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c r="AA897" s="127"/>
      <c r="AB897" s="127"/>
      <c r="AC897" s="127"/>
      <c r="AD897" s="127"/>
      <c r="AE897" s="127"/>
      <c r="AF897" s="127"/>
      <c r="AG897" s="127"/>
    </row>
    <row r="898" spans="1:33" ht="15.75" customHeight="1">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c r="AA898" s="127"/>
      <c r="AB898" s="127"/>
      <c r="AC898" s="127"/>
      <c r="AD898" s="127"/>
      <c r="AE898" s="127"/>
      <c r="AF898" s="127"/>
      <c r="AG898" s="127"/>
    </row>
    <row r="899" spans="1:33" ht="15.75" customHeight="1">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c r="AA899" s="127"/>
      <c r="AB899" s="127"/>
      <c r="AC899" s="127"/>
      <c r="AD899" s="127"/>
      <c r="AE899" s="127"/>
      <c r="AF899" s="127"/>
      <c r="AG899" s="127"/>
    </row>
    <row r="900" spans="1:33" ht="15.75" customHeight="1">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c r="AA900" s="127"/>
      <c r="AB900" s="127"/>
      <c r="AC900" s="127"/>
      <c r="AD900" s="127"/>
      <c r="AE900" s="127"/>
      <c r="AF900" s="127"/>
      <c r="AG900" s="127"/>
    </row>
    <row r="901" spans="1:33" ht="15.75" customHeight="1">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c r="AA901" s="127"/>
      <c r="AB901" s="127"/>
      <c r="AC901" s="127"/>
      <c r="AD901" s="127"/>
      <c r="AE901" s="127"/>
      <c r="AF901" s="127"/>
      <c r="AG901" s="127"/>
    </row>
    <row r="902" spans="1:33" ht="15.75" customHeight="1">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c r="AA902" s="127"/>
      <c r="AB902" s="127"/>
      <c r="AC902" s="127"/>
      <c r="AD902" s="127"/>
      <c r="AE902" s="127"/>
      <c r="AF902" s="127"/>
      <c r="AG902" s="127"/>
    </row>
    <row r="903" spans="1:33" ht="15.75" customHeight="1">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c r="AA903" s="127"/>
      <c r="AB903" s="127"/>
      <c r="AC903" s="127"/>
      <c r="AD903" s="127"/>
      <c r="AE903" s="127"/>
      <c r="AF903" s="127"/>
      <c r="AG903" s="127"/>
    </row>
    <row r="904" spans="1:33" ht="15.75" customHeight="1">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c r="AA904" s="127"/>
      <c r="AB904" s="127"/>
      <c r="AC904" s="127"/>
      <c r="AD904" s="127"/>
      <c r="AE904" s="127"/>
      <c r="AF904" s="127"/>
      <c r="AG904" s="127"/>
    </row>
    <row r="905" spans="1:33" ht="15.75" customHeight="1">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c r="AA905" s="127"/>
      <c r="AB905" s="127"/>
      <c r="AC905" s="127"/>
      <c r="AD905" s="127"/>
      <c r="AE905" s="127"/>
      <c r="AF905" s="127"/>
      <c r="AG905" s="127"/>
    </row>
    <row r="906" spans="1:33" ht="15.75" customHeight="1">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c r="AA906" s="127"/>
      <c r="AB906" s="127"/>
      <c r="AC906" s="127"/>
      <c r="AD906" s="127"/>
      <c r="AE906" s="127"/>
      <c r="AF906" s="127"/>
      <c r="AG906" s="127"/>
    </row>
    <row r="907" spans="1:33" ht="15.75" customHeight="1">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c r="AA907" s="127"/>
      <c r="AB907" s="127"/>
      <c r="AC907" s="127"/>
      <c r="AD907" s="127"/>
      <c r="AE907" s="127"/>
      <c r="AF907" s="127"/>
      <c r="AG907" s="127"/>
    </row>
    <row r="908" spans="1:33" ht="15.75" customHeight="1">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c r="AA908" s="127"/>
      <c r="AB908" s="127"/>
      <c r="AC908" s="127"/>
      <c r="AD908" s="127"/>
      <c r="AE908" s="127"/>
      <c r="AF908" s="127"/>
      <c r="AG908" s="127"/>
    </row>
    <row r="909" spans="1:33" ht="15.75" customHeight="1">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c r="AA909" s="127"/>
      <c r="AB909" s="127"/>
      <c r="AC909" s="127"/>
      <c r="AD909" s="127"/>
      <c r="AE909" s="127"/>
      <c r="AF909" s="127"/>
      <c r="AG909" s="127"/>
    </row>
    <row r="910" spans="1:33" ht="15.75" customHeight="1">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c r="AA910" s="127"/>
      <c r="AB910" s="127"/>
      <c r="AC910" s="127"/>
      <c r="AD910" s="127"/>
      <c r="AE910" s="127"/>
      <c r="AF910" s="127"/>
      <c r="AG910" s="127"/>
    </row>
    <row r="911" spans="1:33" ht="15.75" customHeight="1">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c r="AA911" s="127"/>
      <c r="AB911" s="127"/>
      <c r="AC911" s="127"/>
      <c r="AD911" s="127"/>
      <c r="AE911" s="127"/>
      <c r="AF911" s="127"/>
      <c r="AG911" s="127"/>
    </row>
    <row r="912" spans="1:33" ht="15.75" customHeight="1">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c r="AA912" s="127"/>
      <c r="AB912" s="127"/>
      <c r="AC912" s="127"/>
      <c r="AD912" s="127"/>
      <c r="AE912" s="127"/>
      <c r="AF912" s="127"/>
      <c r="AG912" s="127"/>
    </row>
    <row r="913" spans="1:33" ht="15.75" customHeight="1">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c r="AA913" s="127"/>
      <c r="AB913" s="127"/>
      <c r="AC913" s="127"/>
      <c r="AD913" s="127"/>
      <c r="AE913" s="127"/>
      <c r="AF913" s="127"/>
      <c r="AG913" s="127"/>
    </row>
    <row r="914" spans="1:33" ht="15.75" customHeight="1">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c r="AA914" s="127"/>
      <c r="AB914" s="127"/>
      <c r="AC914" s="127"/>
      <c r="AD914" s="127"/>
      <c r="AE914" s="127"/>
      <c r="AF914" s="127"/>
      <c r="AG914" s="127"/>
    </row>
    <row r="915" spans="1:33" ht="15.75" customHeight="1">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c r="AA915" s="127"/>
      <c r="AB915" s="127"/>
      <c r="AC915" s="127"/>
      <c r="AD915" s="127"/>
      <c r="AE915" s="127"/>
      <c r="AF915" s="127"/>
      <c r="AG915" s="127"/>
    </row>
    <row r="916" spans="1:33" ht="15.75" customHeight="1">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c r="AA916" s="127"/>
      <c r="AB916" s="127"/>
      <c r="AC916" s="127"/>
      <c r="AD916" s="127"/>
      <c r="AE916" s="127"/>
      <c r="AF916" s="127"/>
      <c r="AG916" s="127"/>
    </row>
    <row r="917" spans="1:33" ht="15.75" customHeight="1">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c r="AA917" s="127"/>
      <c r="AB917" s="127"/>
      <c r="AC917" s="127"/>
      <c r="AD917" s="127"/>
      <c r="AE917" s="127"/>
      <c r="AF917" s="127"/>
      <c r="AG917" s="127"/>
    </row>
    <row r="918" spans="1:33" ht="15.75" customHeight="1">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c r="AA918" s="127"/>
      <c r="AB918" s="127"/>
      <c r="AC918" s="127"/>
      <c r="AD918" s="127"/>
      <c r="AE918" s="127"/>
      <c r="AF918" s="127"/>
      <c r="AG918" s="127"/>
    </row>
    <row r="919" spans="1:33" ht="15.75" customHeight="1">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c r="AA919" s="127"/>
      <c r="AB919" s="127"/>
      <c r="AC919" s="127"/>
      <c r="AD919" s="127"/>
      <c r="AE919" s="127"/>
      <c r="AF919" s="127"/>
      <c r="AG919" s="127"/>
    </row>
    <row r="920" spans="1:33" ht="15.75" customHeight="1">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c r="AA920" s="127"/>
      <c r="AB920" s="127"/>
      <c r="AC920" s="127"/>
      <c r="AD920" s="127"/>
      <c r="AE920" s="127"/>
      <c r="AF920" s="127"/>
      <c r="AG920" s="127"/>
    </row>
    <row r="921" spans="1:33" ht="15.75" customHeight="1">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c r="AA921" s="127"/>
      <c r="AB921" s="127"/>
      <c r="AC921" s="127"/>
      <c r="AD921" s="127"/>
      <c r="AE921" s="127"/>
      <c r="AF921" s="127"/>
      <c r="AG921" s="127"/>
    </row>
    <row r="922" spans="1:33" ht="15.75" customHeight="1">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c r="AA922" s="127"/>
      <c r="AB922" s="127"/>
      <c r="AC922" s="127"/>
      <c r="AD922" s="127"/>
      <c r="AE922" s="127"/>
      <c r="AF922" s="127"/>
      <c r="AG922" s="127"/>
    </row>
    <row r="923" spans="1:33" ht="15.75" customHeight="1">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c r="AA923" s="127"/>
      <c r="AB923" s="127"/>
      <c r="AC923" s="127"/>
      <c r="AD923" s="127"/>
      <c r="AE923" s="127"/>
      <c r="AF923" s="127"/>
      <c r="AG923" s="127"/>
    </row>
    <row r="924" spans="1:33" ht="15.75" customHeight="1">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c r="AA924" s="127"/>
      <c r="AB924" s="127"/>
      <c r="AC924" s="127"/>
      <c r="AD924" s="127"/>
      <c r="AE924" s="127"/>
      <c r="AF924" s="127"/>
      <c r="AG924" s="127"/>
    </row>
    <row r="925" spans="1:33" ht="15.75" customHeight="1">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c r="AA925" s="127"/>
      <c r="AB925" s="127"/>
      <c r="AC925" s="127"/>
      <c r="AD925" s="127"/>
      <c r="AE925" s="127"/>
      <c r="AF925" s="127"/>
      <c r="AG925" s="127"/>
    </row>
    <row r="926" spans="1:33" ht="15.75" customHeight="1">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c r="AA926" s="127"/>
      <c r="AB926" s="127"/>
      <c r="AC926" s="127"/>
      <c r="AD926" s="127"/>
      <c r="AE926" s="127"/>
      <c r="AF926" s="127"/>
      <c r="AG926" s="127"/>
    </row>
    <row r="927" spans="1:33" ht="15.75" customHeight="1">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c r="AA927" s="127"/>
      <c r="AB927" s="127"/>
      <c r="AC927" s="127"/>
      <c r="AD927" s="127"/>
      <c r="AE927" s="127"/>
      <c r="AF927" s="127"/>
      <c r="AG927" s="127"/>
    </row>
    <row r="928" spans="1:33" ht="15.75" customHeight="1">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c r="AA928" s="127"/>
      <c r="AB928" s="127"/>
      <c r="AC928" s="127"/>
      <c r="AD928" s="127"/>
      <c r="AE928" s="127"/>
      <c r="AF928" s="127"/>
      <c r="AG928" s="127"/>
    </row>
    <row r="929" spans="1:33" ht="15.75" customHeight="1">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c r="AA929" s="127"/>
      <c r="AB929" s="127"/>
      <c r="AC929" s="127"/>
      <c r="AD929" s="127"/>
      <c r="AE929" s="127"/>
      <c r="AF929" s="127"/>
      <c r="AG929" s="127"/>
    </row>
    <row r="930" spans="1:33" ht="15.75" customHeight="1">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c r="AA930" s="127"/>
      <c r="AB930" s="127"/>
      <c r="AC930" s="127"/>
      <c r="AD930" s="127"/>
      <c r="AE930" s="127"/>
      <c r="AF930" s="127"/>
      <c r="AG930" s="127"/>
    </row>
    <row r="931" spans="1:33" ht="15.75" customHeight="1">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c r="AA931" s="127"/>
      <c r="AB931" s="127"/>
      <c r="AC931" s="127"/>
      <c r="AD931" s="127"/>
      <c r="AE931" s="127"/>
      <c r="AF931" s="127"/>
      <c r="AG931" s="127"/>
    </row>
    <row r="932" spans="1:33" ht="15.75" customHeight="1">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c r="AA932" s="127"/>
      <c r="AB932" s="127"/>
      <c r="AC932" s="127"/>
      <c r="AD932" s="127"/>
      <c r="AE932" s="127"/>
      <c r="AF932" s="127"/>
      <c r="AG932" s="127"/>
    </row>
    <row r="933" spans="1:33" ht="15.75" customHeight="1">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c r="AA933" s="127"/>
      <c r="AB933" s="127"/>
      <c r="AC933" s="127"/>
      <c r="AD933" s="127"/>
      <c r="AE933" s="127"/>
      <c r="AF933" s="127"/>
      <c r="AG933" s="127"/>
    </row>
    <row r="934" spans="1:33" ht="15.75" customHeight="1">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c r="AA934" s="127"/>
      <c r="AB934" s="127"/>
      <c r="AC934" s="127"/>
      <c r="AD934" s="127"/>
      <c r="AE934" s="127"/>
      <c r="AF934" s="127"/>
      <c r="AG934" s="127"/>
    </row>
    <row r="935" spans="1:33" ht="15.75" customHeight="1">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c r="AA935" s="127"/>
      <c r="AB935" s="127"/>
      <c r="AC935" s="127"/>
      <c r="AD935" s="127"/>
      <c r="AE935" s="127"/>
      <c r="AF935" s="127"/>
      <c r="AG935" s="127"/>
    </row>
    <row r="936" spans="1:33" ht="15.75" customHeight="1">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c r="AA936" s="127"/>
      <c r="AB936" s="127"/>
      <c r="AC936" s="127"/>
      <c r="AD936" s="127"/>
      <c r="AE936" s="127"/>
      <c r="AF936" s="127"/>
      <c r="AG936" s="127"/>
    </row>
    <row r="937" spans="1:33" ht="15.75" customHeight="1">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c r="AA937" s="127"/>
      <c r="AB937" s="127"/>
      <c r="AC937" s="127"/>
      <c r="AD937" s="127"/>
      <c r="AE937" s="127"/>
      <c r="AF937" s="127"/>
      <c r="AG937" s="127"/>
    </row>
    <row r="938" spans="1:33" ht="15.75" customHeight="1">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c r="AA938" s="127"/>
      <c r="AB938" s="127"/>
      <c r="AC938" s="127"/>
      <c r="AD938" s="127"/>
      <c r="AE938" s="127"/>
      <c r="AF938" s="127"/>
      <c r="AG938" s="127"/>
    </row>
    <row r="939" spans="1:33" ht="15.75" customHeight="1">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c r="AA939" s="127"/>
      <c r="AB939" s="127"/>
      <c r="AC939" s="127"/>
      <c r="AD939" s="127"/>
      <c r="AE939" s="127"/>
      <c r="AF939" s="127"/>
      <c r="AG939" s="127"/>
    </row>
    <row r="940" spans="1:33" ht="15.75" customHeight="1">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c r="AA940" s="127"/>
      <c r="AB940" s="127"/>
      <c r="AC940" s="127"/>
      <c r="AD940" s="127"/>
      <c r="AE940" s="127"/>
      <c r="AF940" s="127"/>
      <c r="AG940" s="127"/>
    </row>
    <row r="941" spans="1:33" ht="15.75" customHeight="1">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c r="AA941" s="127"/>
      <c r="AB941" s="127"/>
      <c r="AC941" s="127"/>
      <c r="AD941" s="127"/>
      <c r="AE941" s="127"/>
      <c r="AF941" s="127"/>
      <c r="AG941" s="127"/>
    </row>
    <row r="942" spans="1:33" ht="15.75" customHeight="1">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c r="AA942" s="127"/>
      <c r="AB942" s="127"/>
      <c r="AC942" s="127"/>
      <c r="AD942" s="127"/>
      <c r="AE942" s="127"/>
      <c r="AF942" s="127"/>
      <c r="AG942" s="127"/>
    </row>
    <row r="943" spans="1:33" ht="15.75" customHeight="1">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c r="AA943" s="127"/>
      <c r="AB943" s="127"/>
      <c r="AC943" s="127"/>
      <c r="AD943" s="127"/>
      <c r="AE943" s="127"/>
      <c r="AF943" s="127"/>
      <c r="AG943" s="127"/>
    </row>
    <row r="944" spans="1:33" ht="15.75" customHeight="1">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c r="AA944" s="127"/>
      <c r="AB944" s="127"/>
      <c r="AC944" s="127"/>
      <c r="AD944" s="127"/>
      <c r="AE944" s="127"/>
      <c r="AF944" s="127"/>
      <c r="AG944" s="127"/>
    </row>
    <row r="945" spans="1:33" ht="15.75" customHeight="1">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c r="AA945" s="127"/>
      <c r="AB945" s="127"/>
      <c r="AC945" s="127"/>
      <c r="AD945" s="127"/>
      <c r="AE945" s="127"/>
      <c r="AF945" s="127"/>
      <c r="AG945" s="127"/>
    </row>
    <row r="946" spans="1:33" ht="15.75" customHeight="1">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c r="AA946" s="127"/>
      <c r="AB946" s="127"/>
      <c r="AC946" s="127"/>
      <c r="AD946" s="127"/>
      <c r="AE946" s="127"/>
      <c r="AF946" s="127"/>
      <c r="AG946" s="127"/>
    </row>
    <row r="947" spans="1:33" ht="15.75" customHeight="1">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c r="AA947" s="127"/>
      <c r="AB947" s="127"/>
      <c r="AC947" s="127"/>
      <c r="AD947" s="127"/>
      <c r="AE947" s="127"/>
      <c r="AF947" s="127"/>
      <c r="AG947" s="127"/>
    </row>
    <row r="948" spans="1:33" ht="15.75" customHeight="1">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c r="AA948" s="127"/>
      <c r="AB948" s="127"/>
      <c r="AC948" s="127"/>
      <c r="AD948" s="127"/>
      <c r="AE948" s="127"/>
      <c r="AF948" s="127"/>
      <c r="AG948" s="127"/>
    </row>
    <row r="949" spans="1:33" ht="15.75" customHeight="1">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c r="AA949" s="127"/>
      <c r="AB949" s="127"/>
      <c r="AC949" s="127"/>
      <c r="AD949" s="127"/>
      <c r="AE949" s="127"/>
      <c r="AF949" s="127"/>
      <c r="AG949" s="127"/>
    </row>
    <row r="950" spans="1:33" ht="15.75" customHeight="1">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c r="AA950" s="127"/>
      <c r="AB950" s="127"/>
      <c r="AC950" s="127"/>
      <c r="AD950" s="127"/>
      <c r="AE950" s="127"/>
      <c r="AF950" s="127"/>
      <c r="AG950" s="127"/>
    </row>
    <row r="951" spans="1:33" ht="15.75" customHeight="1">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c r="AA951" s="127"/>
      <c r="AB951" s="127"/>
      <c r="AC951" s="127"/>
      <c r="AD951" s="127"/>
      <c r="AE951" s="127"/>
      <c r="AF951" s="127"/>
      <c r="AG951" s="127"/>
    </row>
    <row r="952" spans="1:33" ht="15.75" customHeight="1">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c r="AA952" s="127"/>
      <c r="AB952" s="127"/>
      <c r="AC952" s="127"/>
      <c r="AD952" s="127"/>
      <c r="AE952" s="127"/>
      <c r="AF952" s="127"/>
      <c r="AG952" s="127"/>
    </row>
    <row r="953" spans="1:33" ht="15.75" customHeight="1">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c r="AA953" s="127"/>
      <c r="AB953" s="127"/>
      <c r="AC953" s="127"/>
      <c r="AD953" s="127"/>
      <c r="AE953" s="127"/>
      <c r="AF953" s="127"/>
      <c r="AG953" s="127"/>
    </row>
    <row r="954" spans="1:33" ht="15.75" customHeight="1">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c r="AA954" s="127"/>
      <c r="AB954" s="127"/>
      <c r="AC954" s="127"/>
      <c r="AD954" s="127"/>
      <c r="AE954" s="127"/>
      <c r="AF954" s="127"/>
      <c r="AG954" s="127"/>
    </row>
    <row r="955" spans="1:33" ht="15.75" customHeight="1">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c r="AA955" s="127"/>
      <c r="AB955" s="127"/>
      <c r="AC955" s="127"/>
      <c r="AD955" s="127"/>
      <c r="AE955" s="127"/>
      <c r="AF955" s="127"/>
      <c r="AG955" s="127"/>
    </row>
    <row r="956" spans="1:33" ht="15.75" customHeight="1">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c r="AA956" s="127"/>
      <c r="AB956" s="127"/>
      <c r="AC956" s="127"/>
      <c r="AD956" s="127"/>
      <c r="AE956" s="127"/>
      <c r="AF956" s="127"/>
      <c r="AG956" s="127"/>
    </row>
    <row r="957" spans="1:33" ht="15.75" customHeight="1">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c r="AA957" s="127"/>
      <c r="AB957" s="127"/>
      <c r="AC957" s="127"/>
      <c r="AD957" s="127"/>
      <c r="AE957" s="127"/>
      <c r="AF957" s="127"/>
      <c r="AG957" s="127"/>
    </row>
    <row r="958" spans="1:33" ht="15.75" customHeight="1">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c r="AA958" s="127"/>
      <c r="AB958" s="127"/>
      <c r="AC958" s="127"/>
      <c r="AD958" s="127"/>
      <c r="AE958" s="127"/>
      <c r="AF958" s="127"/>
      <c r="AG958" s="127"/>
    </row>
    <row r="959" spans="1:33" ht="15.75" customHeight="1">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c r="AA959" s="127"/>
      <c r="AB959" s="127"/>
      <c r="AC959" s="127"/>
      <c r="AD959" s="127"/>
      <c r="AE959" s="127"/>
      <c r="AF959" s="127"/>
      <c r="AG959" s="127"/>
    </row>
    <row r="960" spans="1:33" ht="15.75" customHeight="1">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c r="AA960" s="127"/>
      <c r="AB960" s="127"/>
      <c r="AC960" s="127"/>
      <c r="AD960" s="127"/>
      <c r="AE960" s="127"/>
      <c r="AF960" s="127"/>
      <c r="AG960" s="127"/>
    </row>
    <row r="961" spans="1:33" ht="15.75" customHeight="1">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c r="AA961" s="127"/>
      <c r="AB961" s="127"/>
      <c r="AC961" s="127"/>
      <c r="AD961" s="127"/>
      <c r="AE961" s="127"/>
      <c r="AF961" s="127"/>
      <c r="AG961" s="127"/>
    </row>
    <row r="962" spans="1:33" ht="15.75" customHeight="1">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c r="AA962" s="127"/>
      <c r="AB962" s="127"/>
      <c r="AC962" s="127"/>
      <c r="AD962" s="127"/>
      <c r="AE962" s="127"/>
      <c r="AF962" s="127"/>
      <c r="AG962" s="127"/>
    </row>
    <row r="963" spans="1:33" ht="15.75" customHeight="1">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c r="AA963" s="127"/>
      <c r="AB963" s="127"/>
      <c r="AC963" s="127"/>
      <c r="AD963" s="127"/>
      <c r="AE963" s="127"/>
      <c r="AF963" s="127"/>
      <c r="AG963" s="127"/>
    </row>
    <row r="964" spans="1:33" ht="15.75" customHeight="1">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c r="AA964" s="127"/>
      <c r="AB964" s="127"/>
      <c r="AC964" s="127"/>
      <c r="AD964" s="127"/>
      <c r="AE964" s="127"/>
      <c r="AF964" s="127"/>
      <c r="AG964" s="127"/>
    </row>
    <row r="965" spans="1:33" ht="15.75" customHeight="1">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c r="AA965" s="127"/>
      <c r="AB965" s="127"/>
      <c r="AC965" s="127"/>
      <c r="AD965" s="127"/>
      <c r="AE965" s="127"/>
      <c r="AF965" s="127"/>
      <c r="AG965" s="127"/>
    </row>
    <row r="966" spans="1:33" ht="15.75" customHeight="1">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c r="AA966" s="127"/>
      <c r="AB966" s="127"/>
      <c r="AC966" s="127"/>
      <c r="AD966" s="127"/>
      <c r="AE966" s="127"/>
      <c r="AF966" s="127"/>
      <c r="AG966" s="127"/>
    </row>
    <row r="967" spans="1:33" ht="15.75" customHeight="1">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c r="AA967" s="127"/>
      <c r="AB967" s="127"/>
      <c r="AC967" s="127"/>
      <c r="AD967" s="127"/>
      <c r="AE967" s="127"/>
      <c r="AF967" s="127"/>
      <c r="AG967" s="127"/>
    </row>
    <row r="968" spans="1:33" ht="15.75" customHeight="1">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c r="AA968" s="127"/>
      <c r="AB968" s="127"/>
      <c r="AC968" s="127"/>
      <c r="AD968" s="127"/>
      <c r="AE968" s="127"/>
      <c r="AF968" s="127"/>
      <c r="AG968" s="127"/>
    </row>
    <row r="969" spans="1:33" ht="15.75" customHeight="1">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c r="AA969" s="127"/>
      <c r="AB969" s="127"/>
      <c r="AC969" s="127"/>
      <c r="AD969" s="127"/>
      <c r="AE969" s="127"/>
      <c r="AF969" s="127"/>
      <c r="AG969" s="127"/>
    </row>
    <row r="970" spans="1:33" ht="15.75" customHeight="1">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c r="AA970" s="127"/>
      <c r="AB970" s="127"/>
      <c r="AC970" s="127"/>
      <c r="AD970" s="127"/>
      <c r="AE970" s="127"/>
      <c r="AF970" s="127"/>
      <c r="AG970" s="127"/>
    </row>
    <row r="971" spans="1:33" ht="15.75" customHeight="1">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c r="AA971" s="127"/>
      <c r="AB971" s="127"/>
      <c r="AC971" s="127"/>
      <c r="AD971" s="127"/>
      <c r="AE971" s="127"/>
      <c r="AF971" s="127"/>
      <c r="AG971" s="127"/>
    </row>
    <row r="972" spans="1:33" ht="15.75" customHeight="1">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c r="AA972" s="127"/>
      <c r="AB972" s="127"/>
      <c r="AC972" s="127"/>
      <c r="AD972" s="127"/>
      <c r="AE972" s="127"/>
      <c r="AF972" s="127"/>
      <c r="AG972" s="127"/>
    </row>
    <row r="973" spans="1:33" ht="15.75" customHeight="1">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c r="AA973" s="127"/>
      <c r="AB973" s="127"/>
      <c r="AC973" s="127"/>
      <c r="AD973" s="127"/>
      <c r="AE973" s="127"/>
      <c r="AF973" s="127"/>
      <c r="AG973" s="127"/>
    </row>
    <row r="974" spans="1:33" ht="15.75" customHeight="1">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c r="AA974" s="127"/>
      <c r="AB974" s="127"/>
      <c r="AC974" s="127"/>
      <c r="AD974" s="127"/>
      <c r="AE974" s="127"/>
      <c r="AF974" s="127"/>
      <c r="AG974" s="127"/>
    </row>
    <row r="975" spans="1:33" ht="15.75" customHeight="1">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c r="AA975" s="127"/>
      <c r="AB975" s="127"/>
      <c r="AC975" s="127"/>
      <c r="AD975" s="127"/>
      <c r="AE975" s="127"/>
      <c r="AF975" s="127"/>
      <c r="AG975" s="127"/>
    </row>
    <row r="976" spans="1:33" ht="15.75" customHeight="1">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c r="AA976" s="127"/>
      <c r="AB976" s="127"/>
      <c r="AC976" s="127"/>
      <c r="AD976" s="127"/>
      <c r="AE976" s="127"/>
      <c r="AF976" s="127"/>
      <c r="AG976" s="127"/>
    </row>
    <row r="977" spans="1:33" ht="15.75" customHeight="1">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c r="AA977" s="127"/>
      <c r="AB977" s="127"/>
      <c r="AC977" s="127"/>
      <c r="AD977" s="127"/>
      <c r="AE977" s="127"/>
      <c r="AF977" s="127"/>
      <c r="AG977" s="127"/>
    </row>
    <row r="978" spans="1:33" ht="15.75" customHeight="1">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c r="AA978" s="127"/>
      <c r="AB978" s="127"/>
      <c r="AC978" s="127"/>
      <c r="AD978" s="127"/>
      <c r="AE978" s="127"/>
      <c r="AF978" s="127"/>
      <c r="AG978" s="127"/>
    </row>
    <row r="979" spans="1:33" ht="15.75" customHeight="1">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c r="AA979" s="127"/>
      <c r="AB979" s="127"/>
      <c r="AC979" s="127"/>
      <c r="AD979" s="127"/>
      <c r="AE979" s="127"/>
      <c r="AF979" s="127"/>
      <c r="AG979" s="127"/>
    </row>
    <row r="980" spans="1:33" ht="15.75" customHeight="1">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c r="AA980" s="127"/>
      <c r="AB980" s="127"/>
      <c r="AC980" s="127"/>
      <c r="AD980" s="127"/>
      <c r="AE980" s="127"/>
      <c r="AF980" s="127"/>
      <c r="AG980" s="127"/>
    </row>
    <row r="981" spans="1:33" ht="15.75" customHeight="1">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c r="AA981" s="127"/>
      <c r="AB981" s="127"/>
      <c r="AC981" s="127"/>
      <c r="AD981" s="127"/>
      <c r="AE981" s="127"/>
      <c r="AF981" s="127"/>
      <c r="AG981" s="127"/>
    </row>
    <row r="982" spans="1:33" ht="15.75" customHeight="1">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c r="AA982" s="127"/>
      <c r="AB982" s="127"/>
      <c r="AC982" s="127"/>
      <c r="AD982" s="127"/>
      <c r="AE982" s="127"/>
      <c r="AF982" s="127"/>
      <c r="AG982" s="127"/>
    </row>
    <row r="983" spans="1:33" ht="15.75" customHeight="1">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c r="AA983" s="127"/>
      <c r="AB983" s="127"/>
      <c r="AC983" s="127"/>
      <c r="AD983" s="127"/>
      <c r="AE983" s="127"/>
      <c r="AF983" s="127"/>
      <c r="AG983" s="127"/>
    </row>
    <row r="984" spans="1:33" ht="15.75" customHeight="1">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c r="AA984" s="127"/>
      <c r="AB984" s="127"/>
      <c r="AC984" s="127"/>
      <c r="AD984" s="127"/>
      <c r="AE984" s="127"/>
      <c r="AF984" s="127"/>
      <c r="AG984" s="127"/>
    </row>
    <row r="985" spans="1:33" ht="15.75" customHeight="1">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c r="AA985" s="127"/>
      <c r="AB985" s="127"/>
      <c r="AC985" s="127"/>
      <c r="AD985" s="127"/>
      <c r="AE985" s="127"/>
      <c r="AF985" s="127"/>
      <c r="AG985" s="127"/>
    </row>
    <row r="986" spans="1:33" ht="15.75" customHeight="1">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c r="AA986" s="127"/>
      <c r="AB986" s="127"/>
      <c r="AC986" s="127"/>
      <c r="AD986" s="127"/>
      <c r="AE986" s="127"/>
      <c r="AF986" s="127"/>
      <c r="AG986" s="127"/>
    </row>
    <row r="987" spans="1:33" ht="15.75" customHeight="1">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c r="AA987" s="127"/>
      <c r="AB987" s="127"/>
      <c r="AC987" s="127"/>
      <c r="AD987" s="127"/>
      <c r="AE987" s="127"/>
      <c r="AF987" s="127"/>
      <c r="AG987" s="127"/>
    </row>
    <row r="988" spans="1:33" ht="15.75" customHeight="1">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c r="AA988" s="127"/>
      <c r="AB988" s="127"/>
      <c r="AC988" s="127"/>
      <c r="AD988" s="127"/>
      <c r="AE988" s="127"/>
      <c r="AF988" s="127"/>
      <c r="AG988" s="127"/>
    </row>
    <row r="989" spans="1:33" ht="15.75" customHeight="1">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c r="AA989" s="127"/>
      <c r="AB989" s="127"/>
      <c r="AC989" s="127"/>
      <c r="AD989" s="127"/>
      <c r="AE989" s="127"/>
      <c r="AF989" s="127"/>
      <c r="AG989" s="127"/>
    </row>
    <row r="990" spans="1:33" ht="15.75" customHeight="1">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c r="AA990" s="127"/>
      <c r="AB990" s="127"/>
      <c r="AC990" s="127"/>
      <c r="AD990" s="127"/>
      <c r="AE990" s="127"/>
      <c r="AF990" s="127"/>
      <c r="AG990" s="127"/>
    </row>
    <row r="991" spans="1:33" ht="15.75" customHeight="1">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c r="AA991" s="127"/>
      <c r="AB991" s="127"/>
      <c r="AC991" s="127"/>
      <c r="AD991" s="127"/>
      <c r="AE991" s="127"/>
      <c r="AF991" s="127"/>
      <c r="AG991" s="127"/>
    </row>
    <row r="992" spans="1:33" ht="15.75" customHeight="1">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c r="AA992" s="127"/>
      <c r="AB992" s="127"/>
      <c r="AC992" s="127"/>
      <c r="AD992" s="127"/>
      <c r="AE992" s="127"/>
      <c r="AF992" s="127"/>
      <c r="AG992" s="127"/>
    </row>
    <row r="993" spans="1:33" ht="15.75" customHeight="1">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c r="AA993" s="127"/>
      <c r="AB993" s="127"/>
      <c r="AC993" s="127"/>
      <c r="AD993" s="127"/>
      <c r="AE993" s="127"/>
      <c r="AF993" s="127"/>
      <c r="AG993" s="127"/>
    </row>
    <row r="994" spans="1:33" ht="15.75" customHeight="1">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c r="AA994" s="127"/>
      <c r="AB994" s="127"/>
      <c r="AC994" s="127"/>
      <c r="AD994" s="127"/>
      <c r="AE994" s="127"/>
      <c r="AF994" s="127"/>
      <c r="AG994" s="127"/>
    </row>
    <row r="995" spans="1:33" ht="15.75" customHeight="1">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c r="AA995" s="127"/>
      <c r="AB995" s="127"/>
      <c r="AC995" s="127"/>
      <c r="AD995" s="127"/>
      <c r="AE995" s="127"/>
      <c r="AF995" s="127"/>
      <c r="AG995" s="127"/>
    </row>
    <row r="996" spans="1:33" ht="15.75" customHeight="1">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c r="AA996" s="127"/>
      <c r="AB996" s="127"/>
      <c r="AC996" s="127"/>
      <c r="AD996" s="127"/>
      <c r="AE996" s="127"/>
      <c r="AF996" s="127"/>
      <c r="AG996" s="127"/>
    </row>
    <row r="997" spans="1:33" ht="15.75" customHeight="1">
      <c r="A997" s="127"/>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c r="AA997" s="127"/>
      <c r="AB997" s="127"/>
      <c r="AC997" s="127"/>
      <c r="AD997" s="127"/>
      <c r="AE997" s="127"/>
      <c r="AF997" s="127"/>
      <c r="AG997" s="127"/>
    </row>
    <row r="998" spans="1:33" ht="15.75" customHeight="1">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c r="AA998" s="127"/>
      <c r="AB998" s="127"/>
      <c r="AC998" s="127"/>
      <c r="AD998" s="127"/>
      <c r="AE998" s="127"/>
      <c r="AF998" s="127"/>
      <c r="AG998" s="127"/>
    </row>
    <row r="999" spans="1:33" ht="15.75" customHeight="1">
      <c r="A999" s="127"/>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c r="AA999" s="127"/>
      <c r="AB999" s="127"/>
      <c r="AC999" s="127"/>
      <c r="AD999" s="127"/>
      <c r="AE999" s="127"/>
      <c r="AF999" s="127"/>
      <c r="AG999" s="127"/>
    </row>
    <row r="1000" spans="1:33" ht="15.75" customHeight="1">
      <c r="A1000" s="127"/>
      <c r="B1000" s="127"/>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c r="AA1000" s="127"/>
      <c r="AB1000" s="127"/>
      <c r="AC1000" s="127"/>
      <c r="AD1000" s="127"/>
      <c r="AE1000" s="127"/>
      <c r="AF1000" s="127"/>
      <c r="AG1000" s="127"/>
    </row>
    <row r="1001" spans="1:33" ht="15.75" customHeight="1">
      <c r="A1001" s="127"/>
      <c r="B1001" s="127"/>
      <c r="C1001" s="127"/>
      <c r="D1001" s="127"/>
      <c r="E1001" s="127"/>
      <c r="F1001" s="127"/>
      <c r="G1001" s="127"/>
      <c r="H1001" s="127"/>
      <c r="I1001" s="127"/>
      <c r="J1001" s="127"/>
      <c r="K1001" s="127"/>
      <c r="L1001" s="127"/>
      <c r="M1001" s="127"/>
      <c r="N1001" s="127"/>
      <c r="O1001" s="127"/>
      <c r="P1001" s="127"/>
      <c r="Q1001" s="127"/>
      <c r="R1001" s="127"/>
      <c r="S1001" s="127"/>
      <c r="T1001" s="127"/>
      <c r="U1001" s="127"/>
      <c r="V1001" s="127"/>
      <c r="W1001" s="127"/>
      <c r="X1001" s="127"/>
      <c r="Y1001" s="127"/>
      <c r="Z1001" s="127"/>
      <c r="AA1001" s="127"/>
      <c r="AB1001" s="127"/>
      <c r="AC1001" s="127"/>
      <c r="AD1001" s="127"/>
      <c r="AE1001" s="127"/>
      <c r="AF1001" s="127"/>
      <c r="AG1001" s="127"/>
    </row>
    <row r="1002" spans="1:33" ht="15.75" customHeight="1">
      <c r="A1002" s="127"/>
      <c r="B1002" s="127"/>
      <c r="C1002" s="127"/>
      <c r="D1002" s="127"/>
      <c r="E1002" s="127"/>
      <c r="F1002" s="127"/>
      <c r="G1002" s="127"/>
      <c r="H1002" s="127"/>
      <c r="I1002" s="127"/>
      <c r="J1002" s="127"/>
      <c r="K1002" s="127"/>
      <c r="L1002" s="127"/>
      <c r="M1002" s="127"/>
      <c r="N1002" s="127"/>
      <c r="O1002" s="127"/>
      <c r="P1002" s="127"/>
      <c r="Q1002" s="127"/>
      <c r="R1002" s="127"/>
      <c r="S1002" s="127"/>
      <c r="T1002" s="127"/>
      <c r="U1002" s="127"/>
      <c r="V1002" s="127"/>
      <c r="W1002" s="127"/>
      <c r="X1002" s="127"/>
      <c r="Y1002" s="127"/>
      <c r="Z1002" s="127"/>
      <c r="AA1002" s="127"/>
      <c r="AB1002" s="127"/>
      <c r="AC1002" s="127"/>
      <c r="AD1002" s="127"/>
      <c r="AE1002" s="127"/>
      <c r="AF1002" s="127"/>
      <c r="AG1002" s="127"/>
    </row>
  </sheetData>
  <mergeCells count="447">
    <mergeCell ref="C61:C63"/>
    <mergeCell ref="D61:D63"/>
    <mergeCell ref="E61:E63"/>
    <mergeCell ref="C73:C75"/>
    <mergeCell ref="D73:D75"/>
    <mergeCell ref="E73:E75"/>
    <mergeCell ref="C40:C42"/>
    <mergeCell ref="C46:C48"/>
    <mergeCell ref="B49:B60"/>
    <mergeCell ref="D52:D54"/>
    <mergeCell ref="E52:E54"/>
    <mergeCell ref="E55:E57"/>
    <mergeCell ref="B61:B75"/>
    <mergeCell ref="C58:C60"/>
    <mergeCell ref="D58:D60"/>
    <mergeCell ref="E58:E60"/>
    <mergeCell ref="C64:C66"/>
    <mergeCell ref="D64:D66"/>
    <mergeCell ref="E64:E66"/>
    <mergeCell ref="C67:C69"/>
    <mergeCell ref="D67:D69"/>
    <mergeCell ref="E67:E69"/>
    <mergeCell ref="C70:C72"/>
    <mergeCell ref="D70:D72"/>
    <mergeCell ref="E70:E72"/>
    <mergeCell ref="B37:B48"/>
    <mergeCell ref="C37:C39"/>
    <mergeCell ref="K70:K72"/>
    <mergeCell ref="F73:G75"/>
    <mergeCell ref="H73:H75"/>
    <mergeCell ref="I73:I75"/>
    <mergeCell ref="J73:J75"/>
    <mergeCell ref="K73:K75"/>
    <mergeCell ref="I64:I66"/>
    <mergeCell ref="J64:J66"/>
    <mergeCell ref="F61:G63"/>
    <mergeCell ref="H61:H63"/>
    <mergeCell ref="I61:I63"/>
    <mergeCell ref="J61:J63"/>
    <mergeCell ref="K61:K63"/>
    <mergeCell ref="H64:H66"/>
    <mergeCell ref="K64:K66"/>
    <mergeCell ref="F64:G66"/>
    <mergeCell ref="C43:C45"/>
    <mergeCell ref="D43:D45"/>
    <mergeCell ref="F43:G45"/>
    <mergeCell ref="H43:H45"/>
    <mergeCell ref="I43:I45"/>
    <mergeCell ref="J43:J45"/>
    <mergeCell ref="K43:K45"/>
    <mergeCell ref="D46:D48"/>
    <mergeCell ref="E46:E48"/>
    <mergeCell ref="F46:G48"/>
    <mergeCell ref="H46:H48"/>
    <mergeCell ref="I46:I48"/>
    <mergeCell ref="J46:J48"/>
    <mergeCell ref="K46:K48"/>
    <mergeCell ref="E43:E45"/>
    <mergeCell ref="K52:K54"/>
    <mergeCell ref="D49:D51"/>
    <mergeCell ref="E49:E51"/>
    <mergeCell ref="F49:G51"/>
    <mergeCell ref="H49:H51"/>
    <mergeCell ref="I49:I51"/>
    <mergeCell ref="J49:J51"/>
    <mergeCell ref="K49:K51"/>
    <mergeCell ref="C55:C57"/>
    <mergeCell ref="D55:D57"/>
    <mergeCell ref="F55:G57"/>
    <mergeCell ref="H55:H57"/>
    <mergeCell ref="I55:I57"/>
    <mergeCell ref="J55:J57"/>
    <mergeCell ref="K55:K57"/>
    <mergeCell ref="C52:C54"/>
    <mergeCell ref="F52:G54"/>
    <mergeCell ref="H52:H54"/>
    <mergeCell ref="I52:I54"/>
    <mergeCell ref="J52:J54"/>
    <mergeCell ref="C49:C51"/>
    <mergeCell ref="R89:R91"/>
    <mergeCell ref="S89:S91"/>
    <mergeCell ref="R92:R94"/>
    <mergeCell ref="S92:S94"/>
    <mergeCell ref="R83:R85"/>
    <mergeCell ref="S83:S85"/>
    <mergeCell ref="F58:G60"/>
    <mergeCell ref="H58:H60"/>
    <mergeCell ref="I58:I60"/>
    <mergeCell ref="J58:J60"/>
    <mergeCell ref="K58:K60"/>
    <mergeCell ref="J81:K81"/>
    <mergeCell ref="L81:L82"/>
    <mergeCell ref="H81:H82"/>
    <mergeCell ref="I81:I82"/>
    <mergeCell ref="F67:G69"/>
    <mergeCell ref="H67:H69"/>
    <mergeCell ref="I67:I69"/>
    <mergeCell ref="J67:J69"/>
    <mergeCell ref="K67:K69"/>
    <mergeCell ref="F70:G72"/>
    <mergeCell ref="H70:H72"/>
    <mergeCell ref="I70:I72"/>
    <mergeCell ref="J70:J72"/>
    <mergeCell ref="U95:U97"/>
    <mergeCell ref="U98:U100"/>
    <mergeCell ref="U101:U103"/>
    <mergeCell ref="V98:V100"/>
    <mergeCell ref="V101:V103"/>
    <mergeCell ref="U83:U85"/>
    <mergeCell ref="U86:U88"/>
    <mergeCell ref="U89:U91"/>
    <mergeCell ref="V89:V91"/>
    <mergeCell ref="U92:U94"/>
    <mergeCell ref="V92:V94"/>
    <mergeCell ref="V95:V97"/>
    <mergeCell ref="V70:V72"/>
    <mergeCell ref="R73:R75"/>
    <mergeCell ref="S73:S75"/>
    <mergeCell ref="U73:U75"/>
    <mergeCell ref="R58:R60"/>
    <mergeCell ref="S58:S60"/>
    <mergeCell ref="U58:U60"/>
    <mergeCell ref="V58:V60"/>
    <mergeCell ref="S61:S63"/>
    <mergeCell ref="U61:U63"/>
    <mergeCell ref="V61:V63"/>
    <mergeCell ref="R61:R63"/>
    <mergeCell ref="R64:R66"/>
    <mergeCell ref="S64:S66"/>
    <mergeCell ref="U64:U66"/>
    <mergeCell ref="V64:V66"/>
    <mergeCell ref="V73:V75"/>
    <mergeCell ref="R67:R69"/>
    <mergeCell ref="S67:S69"/>
    <mergeCell ref="U67:U69"/>
    <mergeCell ref="V67:V69"/>
    <mergeCell ref="R70:R72"/>
    <mergeCell ref="S70:S72"/>
    <mergeCell ref="U70:U72"/>
    <mergeCell ref="M81:Q81"/>
    <mergeCell ref="R81:R82"/>
    <mergeCell ref="U81:U82"/>
    <mergeCell ref="V81:V82"/>
    <mergeCell ref="B76:Q76"/>
    <mergeCell ref="R76:U76"/>
    <mergeCell ref="B79:V79"/>
    <mergeCell ref="B80:R80"/>
    <mergeCell ref="S80:V80"/>
    <mergeCell ref="B81:E82"/>
    <mergeCell ref="F81:G82"/>
    <mergeCell ref="S81:S82"/>
    <mergeCell ref="T81:T82"/>
    <mergeCell ref="B89:E91"/>
    <mergeCell ref="F89:G91"/>
    <mergeCell ref="H89:H91"/>
    <mergeCell ref="I89:I91"/>
    <mergeCell ref="J89:J91"/>
    <mergeCell ref="K89:K91"/>
    <mergeCell ref="B92:E94"/>
    <mergeCell ref="K92:K94"/>
    <mergeCell ref="V83:V85"/>
    <mergeCell ref="S86:S88"/>
    <mergeCell ref="V86:V88"/>
    <mergeCell ref="B83:E85"/>
    <mergeCell ref="B86:E88"/>
    <mergeCell ref="F86:G88"/>
    <mergeCell ref="H86:H88"/>
    <mergeCell ref="I86:I88"/>
    <mergeCell ref="J86:J88"/>
    <mergeCell ref="K86:K88"/>
    <mergeCell ref="F83:G85"/>
    <mergeCell ref="H83:H85"/>
    <mergeCell ref="I83:I85"/>
    <mergeCell ref="J83:J85"/>
    <mergeCell ref="K83:K85"/>
    <mergeCell ref="R86:R88"/>
    <mergeCell ref="I104:I106"/>
    <mergeCell ref="J104:J106"/>
    <mergeCell ref="K104:K106"/>
    <mergeCell ref="H104:H106"/>
    <mergeCell ref="I92:I94"/>
    <mergeCell ref="J92:J94"/>
    <mergeCell ref="I95:I97"/>
    <mergeCell ref="J95:J97"/>
    <mergeCell ref="K95:K97"/>
    <mergeCell ref="I98:I100"/>
    <mergeCell ref="J98:J100"/>
    <mergeCell ref="K98:K100"/>
    <mergeCell ref="F107:G109"/>
    <mergeCell ref="H107:H109"/>
    <mergeCell ref="I107:I109"/>
    <mergeCell ref="J107:J109"/>
    <mergeCell ref="K107:K109"/>
    <mergeCell ref="F92:G94"/>
    <mergeCell ref="H92:H94"/>
    <mergeCell ref="B95:E103"/>
    <mergeCell ref="F95:G97"/>
    <mergeCell ref="H95:H97"/>
    <mergeCell ref="H98:H100"/>
    <mergeCell ref="B104:E111"/>
    <mergeCell ref="F110:G111"/>
    <mergeCell ref="H110:H111"/>
    <mergeCell ref="I110:I111"/>
    <mergeCell ref="J110:J111"/>
    <mergeCell ref="K110:K111"/>
    <mergeCell ref="F101:G103"/>
    <mergeCell ref="H101:H103"/>
    <mergeCell ref="I101:I103"/>
    <mergeCell ref="J101:J103"/>
    <mergeCell ref="K101:K103"/>
    <mergeCell ref="F98:G100"/>
    <mergeCell ref="F104:G106"/>
    <mergeCell ref="U119:U121"/>
    <mergeCell ref="U122:U124"/>
    <mergeCell ref="U131:U133"/>
    <mergeCell ref="V131:V133"/>
    <mergeCell ref="U134:U136"/>
    <mergeCell ref="V134:V136"/>
    <mergeCell ref="S117:S118"/>
    <mergeCell ref="T117:T118"/>
    <mergeCell ref="R119:R121"/>
    <mergeCell ref="S119:S121"/>
    <mergeCell ref="V119:V121"/>
    <mergeCell ref="S122:S124"/>
    <mergeCell ref="V122:V124"/>
    <mergeCell ref="R122:R124"/>
    <mergeCell ref="R125:R127"/>
    <mergeCell ref="S125:S127"/>
    <mergeCell ref="U125:U127"/>
    <mergeCell ref="V125:V127"/>
    <mergeCell ref="U128:U130"/>
    <mergeCell ref="V128:V130"/>
    <mergeCell ref="B112:U112"/>
    <mergeCell ref="B114:R114"/>
    <mergeCell ref="M117:Q117"/>
    <mergeCell ref="R117:R118"/>
    <mergeCell ref="U117:U118"/>
    <mergeCell ref="V117:V118"/>
    <mergeCell ref="B116:R116"/>
    <mergeCell ref="S116:V116"/>
    <mergeCell ref="B117:E118"/>
    <mergeCell ref="F117:I118"/>
    <mergeCell ref="J117:J118"/>
    <mergeCell ref="K117:K118"/>
    <mergeCell ref="L117:L118"/>
    <mergeCell ref="J137:J139"/>
    <mergeCell ref="K137:K139"/>
    <mergeCell ref="J140:J142"/>
    <mergeCell ref="K140:K142"/>
    <mergeCell ref="J143:J145"/>
    <mergeCell ref="H128:H130"/>
    <mergeCell ref="I128:I130"/>
    <mergeCell ref="J128:J130"/>
    <mergeCell ref="K128:K130"/>
    <mergeCell ref="H134:H136"/>
    <mergeCell ref="I134:I136"/>
    <mergeCell ref="H137:H139"/>
    <mergeCell ref="I137:I139"/>
    <mergeCell ref="H140:H142"/>
    <mergeCell ref="I140:I142"/>
    <mergeCell ref="B119:E121"/>
    <mergeCell ref="F119:I121"/>
    <mergeCell ref="J119:J121"/>
    <mergeCell ref="K119:K121"/>
    <mergeCell ref="F122:I124"/>
    <mergeCell ref="J122:J124"/>
    <mergeCell ref="K122:K124"/>
    <mergeCell ref="F131:G133"/>
    <mergeCell ref="H131:H133"/>
    <mergeCell ref="I131:I133"/>
    <mergeCell ref="J131:J133"/>
    <mergeCell ref="F128:G130"/>
    <mergeCell ref="F134:G136"/>
    <mergeCell ref="D151:F152"/>
    <mergeCell ref="D153:F153"/>
    <mergeCell ref="B137:E145"/>
    <mergeCell ref="F137:G139"/>
    <mergeCell ref="F140:G142"/>
    <mergeCell ref="F143:G145"/>
    <mergeCell ref="B146:U146"/>
    <mergeCell ref="B122:E124"/>
    <mergeCell ref="B125:E127"/>
    <mergeCell ref="F125:I127"/>
    <mergeCell ref="J125:J127"/>
    <mergeCell ref="K125:K127"/>
    <mergeCell ref="B128:E136"/>
    <mergeCell ref="K131:K133"/>
    <mergeCell ref="K143:K145"/>
    <mergeCell ref="I151:L152"/>
    <mergeCell ref="N151:O152"/>
    <mergeCell ref="I153:L153"/>
    <mergeCell ref="N153:O153"/>
    <mergeCell ref="H143:H145"/>
    <mergeCell ref="I143:I145"/>
    <mergeCell ref="J134:J136"/>
    <mergeCell ref="K134:K136"/>
    <mergeCell ref="K31:K33"/>
    <mergeCell ref="F28:G30"/>
    <mergeCell ref="F34:G36"/>
    <mergeCell ref="F37:G39"/>
    <mergeCell ref="F40:G42"/>
    <mergeCell ref="F19:G21"/>
    <mergeCell ref="H19:H21"/>
    <mergeCell ref="I19:I21"/>
    <mergeCell ref="K40:K42"/>
    <mergeCell ref="K34:K36"/>
    <mergeCell ref="K37:K39"/>
    <mergeCell ref="F25:G27"/>
    <mergeCell ref="H25:H27"/>
    <mergeCell ref="I25:I27"/>
    <mergeCell ref="J25:J27"/>
    <mergeCell ref="K25:K27"/>
    <mergeCell ref="I28:I30"/>
    <mergeCell ref="J28:J30"/>
    <mergeCell ref="K28:K30"/>
    <mergeCell ref="K22:K24"/>
    <mergeCell ref="B28:B36"/>
    <mergeCell ref="E28:E36"/>
    <mergeCell ref="H28:H30"/>
    <mergeCell ref="I31:I33"/>
    <mergeCell ref="H37:H39"/>
    <mergeCell ref="H40:H42"/>
    <mergeCell ref="I40:I42"/>
    <mergeCell ref="D37:D39"/>
    <mergeCell ref="E37:E39"/>
    <mergeCell ref="D40:D42"/>
    <mergeCell ref="E40:E42"/>
    <mergeCell ref="F31:G33"/>
    <mergeCell ref="H31:H33"/>
    <mergeCell ref="E22:E24"/>
    <mergeCell ref="F22:G24"/>
    <mergeCell ref="H22:H24"/>
    <mergeCell ref="I22:I24"/>
    <mergeCell ref="C22:C24"/>
    <mergeCell ref="D22:D24"/>
    <mergeCell ref="E25:E27"/>
    <mergeCell ref="J40:J42"/>
    <mergeCell ref="H34:H36"/>
    <mergeCell ref="I34:I36"/>
    <mergeCell ref="J34:J36"/>
    <mergeCell ref="I37:I39"/>
    <mergeCell ref="J37:J39"/>
    <mergeCell ref="J31:J33"/>
    <mergeCell ref="C25:C27"/>
    <mergeCell ref="D25:D27"/>
    <mergeCell ref="J22:J24"/>
    <mergeCell ref="B19:B21"/>
    <mergeCell ref="C19:C21"/>
    <mergeCell ref="D19:D21"/>
    <mergeCell ref="E19:E21"/>
    <mergeCell ref="B10:V10"/>
    <mergeCell ref="B12:R12"/>
    <mergeCell ref="S12:V12"/>
    <mergeCell ref="B7:E7"/>
    <mergeCell ref="F7:M7"/>
    <mergeCell ref="B8:E8"/>
    <mergeCell ref="F8:V8"/>
    <mergeCell ref="B1:V1"/>
    <mergeCell ref="B2:V2"/>
    <mergeCell ref="B3:V3"/>
    <mergeCell ref="B4:E4"/>
    <mergeCell ref="F4:M4"/>
    <mergeCell ref="B5:E5"/>
    <mergeCell ref="F5:M5"/>
    <mergeCell ref="B6:E6"/>
    <mergeCell ref="F6:M6"/>
    <mergeCell ref="O4:V4"/>
    <mergeCell ref="O5:V5"/>
    <mergeCell ref="O6:V6"/>
    <mergeCell ref="R22:R24"/>
    <mergeCell ref="J13:K13"/>
    <mergeCell ref="L13:L15"/>
    <mergeCell ref="J14:J15"/>
    <mergeCell ref="K14:K15"/>
    <mergeCell ref="M14:M15"/>
    <mergeCell ref="N14:N15"/>
    <mergeCell ref="O14:O15"/>
    <mergeCell ref="P14:P15"/>
    <mergeCell ref="J19:J21"/>
    <mergeCell ref="K19:K21"/>
    <mergeCell ref="R19:R21"/>
    <mergeCell ref="B9:V9"/>
    <mergeCell ref="B13:E13"/>
    <mergeCell ref="M13:Q13"/>
    <mergeCell ref="R13:R16"/>
    <mergeCell ref="S13:S15"/>
    <mergeCell ref="T13:T15"/>
    <mergeCell ref="B16:B18"/>
    <mergeCell ref="F13:G15"/>
    <mergeCell ref="H13:H15"/>
    <mergeCell ref="I13:I15"/>
    <mergeCell ref="B14:B15"/>
    <mergeCell ref="Q14:Q15"/>
    <mergeCell ref="C14:E14"/>
    <mergeCell ref="E16:E18"/>
    <mergeCell ref="F16:F18"/>
    <mergeCell ref="G16:G18"/>
    <mergeCell ref="H16:H18"/>
    <mergeCell ref="I16:I18"/>
    <mergeCell ref="U13:U15"/>
    <mergeCell ref="V13:V15"/>
    <mergeCell ref="S22:S24"/>
    <mergeCell ref="U31:U33"/>
    <mergeCell ref="V31:V33"/>
    <mergeCell ref="V34:V36"/>
    <mergeCell ref="U16:U18"/>
    <mergeCell ref="V16:V18"/>
    <mergeCell ref="U19:U21"/>
    <mergeCell ref="V19:V21"/>
    <mergeCell ref="V22:V24"/>
    <mergeCell ref="U22:U24"/>
    <mergeCell ref="U28:U30"/>
    <mergeCell ref="V28:V30"/>
    <mergeCell ref="U34:U36"/>
    <mergeCell ref="S19:S21"/>
    <mergeCell ref="U55:U57"/>
    <mergeCell ref="V55:V57"/>
    <mergeCell ref="R49:R51"/>
    <mergeCell ref="R52:R54"/>
    <mergeCell ref="S52:S54"/>
    <mergeCell ref="U52:U54"/>
    <mergeCell ref="V52:V54"/>
    <mergeCell ref="R55:R57"/>
    <mergeCell ref="S55:S57"/>
    <mergeCell ref="R25:R27"/>
    <mergeCell ref="S25:S27"/>
    <mergeCell ref="U25:U27"/>
    <mergeCell ref="V25:V27"/>
    <mergeCell ref="R46:R48"/>
    <mergeCell ref="S46:S48"/>
    <mergeCell ref="U46:U48"/>
    <mergeCell ref="V46:V48"/>
    <mergeCell ref="S49:S51"/>
    <mergeCell ref="U49:U51"/>
    <mergeCell ref="V49:V51"/>
    <mergeCell ref="R43:R45"/>
    <mergeCell ref="S43:S45"/>
    <mergeCell ref="U43:U45"/>
    <mergeCell ref="V43:V45"/>
    <mergeCell ref="U40:U42"/>
    <mergeCell ref="V40:V42"/>
    <mergeCell ref="R37:R39"/>
    <mergeCell ref="S37:S39"/>
    <mergeCell ref="U37:U39"/>
    <mergeCell ref="V37:V39"/>
    <mergeCell ref="R40:R42"/>
    <mergeCell ref="S40:S42"/>
  </mergeCells>
  <printOptions horizontalCentered="1"/>
  <pageMargins left="8.5227272727272721E-2" right="0" top="0.78740157480314998" bottom="0.19886363636363635" header="0" footer="0"/>
  <pageSetup paperSize="9" scale="30" fitToHeight="0" orientation="landscape" r:id="rId1"/>
  <rowBreaks count="7" manualBreakCount="7">
    <brk id="21" min="1" max="21" man="1"/>
    <brk id="45" min="1" max="21" man="1"/>
    <brk id="51" min="1" max="21" man="1"/>
    <brk id="63" min="1" max="21" man="1"/>
    <brk id="77" min="1" max="21" man="1"/>
    <brk id="91" min="1" max="21" man="1"/>
    <brk id="121" min="1" max="21"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5623"/>
  </sheetPr>
  <dimension ref="A1:Z1008"/>
  <sheetViews>
    <sheetView view="pageLayout" zoomScale="65" zoomScaleNormal="85" zoomScalePageLayoutView="65" workbookViewId="0">
      <selection activeCell="C66" sqref="C66:E67"/>
    </sheetView>
  </sheetViews>
  <sheetFormatPr defaultColWidth="12.7109375" defaultRowHeight="15" customHeight="1"/>
  <cols>
    <col min="1" max="1" width="1.42578125" customWidth="1"/>
    <col min="2" max="2" width="22.42578125" customWidth="1"/>
    <col min="3" max="3" width="47.140625" customWidth="1"/>
    <col min="4" max="4" width="29.140625" customWidth="1"/>
    <col min="5" max="5" width="14.140625" customWidth="1"/>
    <col min="6" max="6" width="30.85546875" customWidth="1"/>
    <col min="7" max="7" width="34" customWidth="1"/>
    <col min="8" max="8" width="55.42578125" customWidth="1"/>
    <col min="9" max="9" width="13.85546875" customWidth="1"/>
    <col min="10" max="10" width="21.42578125" customWidth="1"/>
    <col min="11" max="11" width="24.42578125" customWidth="1"/>
    <col min="12" max="12" width="19" customWidth="1"/>
    <col min="13" max="13" width="30.85546875" customWidth="1"/>
    <col min="14" max="14" width="44.42578125" customWidth="1"/>
    <col min="15" max="20" width="9.140625" customWidth="1"/>
    <col min="21" max="26" width="14.42578125" customWidth="1"/>
  </cols>
  <sheetData>
    <row r="1" spans="1:26" ht="0.75" customHeight="1">
      <c r="A1" s="7"/>
      <c r="B1" s="738"/>
      <c r="C1" s="739"/>
      <c r="D1" s="739"/>
      <c r="E1" s="739"/>
      <c r="F1" s="739"/>
      <c r="G1" s="739"/>
      <c r="H1" s="739"/>
      <c r="I1" s="739"/>
      <c r="J1" s="740"/>
      <c r="K1" s="8"/>
      <c r="L1" s="7"/>
      <c r="M1" s="7"/>
      <c r="N1" s="7"/>
      <c r="O1" s="7"/>
      <c r="P1" s="7"/>
      <c r="Q1" s="7"/>
      <c r="R1" s="7"/>
      <c r="S1" s="7"/>
      <c r="T1" s="7"/>
      <c r="U1" s="5"/>
      <c r="V1" s="5"/>
      <c r="W1" s="5"/>
      <c r="X1" s="5"/>
      <c r="Y1" s="5"/>
      <c r="Z1" s="5"/>
    </row>
    <row r="2" spans="1:26" ht="20.25" customHeight="1" thickBot="1">
      <c r="A2" s="7"/>
      <c r="B2" s="9" t="s">
        <v>410</v>
      </c>
      <c r="C2" s="10"/>
      <c r="D2" s="10"/>
      <c r="E2" s="10"/>
      <c r="F2" s="10"/>
      <c r="G2" s="10"/>
      <c r="H2" s="1"/>
      <c r="I2" s="10"/>
      <c r="J2" s="10"/>
      <c r="K2" s="8"/>
      <c r="L2" s="7"/>
      <c r="M2" s="7"/>
      <c r="N2" s="7"/>
      <c r="O2" s="7"/>
      <c r="P2" s="7"/>
      <c r="Q2" s="7"/>
      <c r="R2" s="7"/>
      <c r="S2" s="7"/>
      <c r="T2" s="7"/>
      <c r="U2" s="11"/>
      <c r="V2" s="5"/>
      <c r="W2" s="5"/>
      <c r="X2" s="5"/>
      <c r="Y2" s="5"/>
      <c r="Z2" s="5"/>
    </row>
    <row r="3" spans="1:26" ht="54" customHeight="1">
      <c r="A3" s="7"/>
      <c r="B3" s="741" t="s">
        <v>411</v>
      </c>
      <c r="C3" s="724"/>
      <c r="D3" s="724"/>
      <c r="E3" s="724"/>
      <c r="F3" s="724"/>
      <c r="G3" s="724"/>
      <c r="H3" s="724"/>
      <c r="I3" s="724"/>
      <c r="J3" s="742"/>
      <c r="K3" s="8"/>
      <c r="L3" s="7"/>
      <c r="M3" s="7"/>
      <c r="N3" s="7"/>
      <c r="O3" s="7"/>
      <c r="P3" s="7"/>
      <c r="Q3" s="7"/>
      <c r="R3" s="7"/>
      <c r="S3" s="7"/>
      <c r="T3" s="7"/>
      <c r="U3" s="11"/>
      <c r="V3" s="5"/>
      <c r="W3" s="5"/>
      <c r="X3" s="5"/>
      <c r="Y3" s="5"/>
      <c r="Z3" s="5"/>
    </row>
    <row r="4" spans="1:26" ht="23.25" customHeight="1">
      <c r="A4" s="7"/>
      <c r="B4" s="735" t="s">
        <v>412</v>
      </c>
      <c r="C4" s="723" t="s">
        <v>413</v>
      </c>
      <c r="D4" s="724"/>
      <c r="E4" s="724"/>
      <c r="F4" s="725"/>
      <c r="G4" s="723" t="s">
        <v>414</v>
      </c>
      <c r="H4" s="725"/>
      <c r="I4" s="743" t="s">
        <v>415</v>
      </c>
      <c r="J4" s="722" t="s">
        <v>416</v>
      </c>
      <c r="K4" s="12"/>
      <c r="L4" s="716" t="s">
        <v>417</v>
      </c>
      <c r="M4" s="717"/>
      <c r="N4" s="717"/>
      <c r="O4" s="7"/>
      <c r="P4" s="7"/>
      <c r="Q4" s="7"/>
      <c r="R4" s="7"/>
      <c r="S4" s="7"/>
      <c r="T4" s="7"/>
      <c r="U4" s="11"/>
      <c r="V4" s="5"/>
      <c r="W4" s="5"/>
      <c r="X4" s="5"/>
      <c r="Y4" s="5"/>
      <c r="Z4" s="5"/>
    </row>
    <row r="5" spans="1:26" ht="39" customHeight="1">
      <c r="A5" s="7"/>
      <c r="B5" s="720"/>
      <c r="C5" s="726"/>
      <c r="D5" s="727"/>
      <c r="E5" s="727"/>
      <c r="F5" s="728"/>
      <c r="G5" s="726"/>
      <c r="H5" s="728"/>
      <c r="I5" s="744"/>
      <c r="J5" s="703"/>
      <c r="K5" s="8"/>
      <c r="L5" s="13" t="s">
        <v>418</v>
      </c>
      <c r="M5" s="14" t="s">
        <v>419</v>
      </c>
      <c r="N5" s="14" t="s">
        <v>420</v>
      </c>
      <c r="O5" s="7"/>
      <c r="P5" s="7"/>
      <c r="Q5" s="7"/>
      <c r="R5" s="7"/>
      <c r="S5" s="7"/>
      <c r="T5" s="7"/>
      <c r="U5" s="11"/>
      <c r="V5" s="5"/>
      <c r="W5" s="5"/>
      <c r="X5" s="5"/>
      <c r="Y5" s="5"/>
      <c r="Z5" s="5"/>
    </row>
    <row r="6" spans="1:26" ht="27" customHeight="1">
      <c r="A6" s="7"/>
      <c r="B6" s="736" t="s">
        <v>421</v>
      </c>
      <c r="C6" s="729" t="s">
        <v>422</v>
      </c>
      <c r="D6" s="707"/>
      <c r="E6" s="707"/>
      <c r="F6" s="705"/>
      <c r="G6" s="730"/>
      <c r="H6" s="707"/>
      <c r="I6" s="15"/>
      <c r="J6" s="731" t="e">
        <f>AVERAGE(I6:I10)</f>
        <v>#DIV/0!</v>
      </c>
      <c r="K6" s="8"/>
      <c r="L6" s="16">
        <v>5</v>
      </c>
      <c r="M6" s="17" t="s">
        <v>423</v>
      </c>
      <c r="N6" s="17" t="s">
        <v>424</v>
      </c>
      <c r="O6" s="7"/>
      <c r="P6" s="7"/>
      <c r="Q6" s="7"/>
      <c r="R6" s="7"/>
      <c r="S6" s="7"/>
      <c r="T6" s="7"/>
      <c r="U6" s="11"/>
      <c r="V6" s="5"/>
      <c r="W6" s="5"/>
      <c r="X6" s="5"/>
      <c r="Y6" s="5"/>
      <c r="Z6" s="5"/>
    </row>
    <row r="7" spans="1:26" ht="27.75" customHeight="1">
      <c r="A7" s="7"/>
      <c r="B7" s="719"/>
      <c r="C7" s="729" t="s">
        <v>425</v>
      </c>
      <c r="D7" s="707"/>
      <c r="E7" s="707"/>
      <c r="F7" s="705"/>
      <c r="G7" s="730"/>
      <c r="H7" s="707"/>
      <c r="I7" s="15"/>
      <c r="J7" s="732"/>
      <c r="K7" s="8"/>
      <c r="L7" s="16">
        <v>4</v>
      </c>
      <c r="M7" s="17" t="s">
        <v>426</v>
      </c>
      <c r="N7" s="17" t="s">
        <v>427</v>
      </c>
      <c r="O7" s="7"/>
      <c r="P7" s="7"/>
      <c r="Q7" s="7"/>
      <c r="R7" s="7"/>
      <c r="S7" s="7"/>
      <c r="T7" s="7"/>
      <c r="U7" s="11"/>
      <c r="V7" s="5"/>
      <c r="W7" s="5"/>
      <c r="X7" s="5"/>
      <c r="Y7" s="5"/>
      <c r="Z7" s="5"/>
    </row>
    <row r="8" spans="1:26" ht="30" customHeight="1">
      <c r="A8" s="7"/>
      <c r="B8" s="719"/>
      <c r="C8" s="729" t="s">
        <v>428</v>
      </c>
      <c r="D8" s="707"/>
      <c r="E8" s="707"/>
      <c r="F8" s="705"/>
      <c r="G8" s="730"/>
      <c r="H8" s="707"/>
      <c r="I8" s="15"/>
      <c r="J8" s="732"/>
      <c r="K8" s="8"/>
      <c r="L8" s="16">
        <v>3</v>
      </c>
      <c r="M8" s="17" t="s">
        <v>429</v>
      </c>
      <c r="N8" s="17" t="s">
        <v>430</v>
      </c>
      <c r="O8" s="7"/>
      <c r="P8" s="7"/>
      <c r="Q8" s="7"/>
      <c r="R8" s="7"/>
      <c r="S8" s="7"/>
      <c r="T8" s="7"/>
      <c r="U8" s="11"/>
      <c r="V8" s="5"/>
      <c r="W8" s="5"/>
      <c r="X8" s="5"/>
      <c r="Y8" s="5"/>
      <c r="Z8" s="5"/>
    </row>
    <row r="9" spans="1:26" ht="24.75" customHeight="1">
      <c r="A9" s="7"/>
      <c r="B9" s="719"/>
      <c r="C9" s="729" t="s">
        <v>431</v>
      </c>
      <c r="D9" s="707"/>
      <c r="E9" s="707"/>
      <c r="F9" s="705"/>
      <c r="G9" s="730"/>
      <c r="H9" s="707"/>
      <c r="I9" s="15"/>
      <c r="J9" s="732"/>
      <c r="K9" s="8"/>
      <c r="L9" s="16">
        <v>2</v>
      </c>
      <c r="M9" s="17" t="s">
        <v>432</v>
      </c>
      <c r="N9" s="17" t="s">
        <v>433</v>
      </c>
      <c r="O9" s="7"/>
      <c r="P9" s="7"/>
      <c r="Q9" s="7"/>
      <c r="R9" s="7"/>
      <c r="S9" s="7"/>
      <c r="T9" s="7"/>
      <c r="U9" s="11"/>
      <c r="V9" s="5"/>
      <c r="W9" s="5"/>
      <c r="X9" s="5"/>
      <c r="Y9" s="5"/>
      <c r="Z9" s="5"/>
    </row>
    <row r="10" spans="1:26" ht="31.5" customHeight="1">
      <c r="A10" s="7"/>
      <c r="B10" s="720"/>
      <c r="C10" s="734" t="s">
        <v>434</v>
      </c>
      <c r="D10" s="707"/>
      <c r="E10" s="707"/>
      <c r="F10" s="705"/>
      <c r="G10" s="730"/>
      <c r="H10" s="707"/>
      <c r="I10" s="15"/>
      <c r="J10" s="733"/>
      <c r="K10" s="8"/>
      <c r="L10" s="16">
        <v>1</v>
      </c>
      <c r="M10" s="17" t="s">
        <v>435</v>
      </c>
      <c r="N10" s="17" t="s">
        <v>436</v>
      </c>
      <c r="O10" s="7"/>
      <c r="P10" s="7"/>
      <c r="Q10" s="7"/>
      <c r="R10" s="7"/>
      <c r="S10" s="7"/>
      <c r="T10" s="7"/>
      <c r="U10" s="11"/>
      <c r="V10" s="5"/>
      <c r="W10" s="5"/>
      <c r="X10" s="5"/>
      <c r="Y10" s="5"/>
      <c r="Z10" s="5"/>
    </row>
    <row r="11" spans="1:26" ht="45" customHeight="1">
      <c r="A11" s="7"/>
      <c r="B11" s="737" t="s">
        <v>437</v>
      </c>
      <c r="C11" s="709" t="s">
        <v>438</v>
      </c>
      <c r="D11" s="707"/>
      <c r="E11" s="707"/>
      <c r="F11" s="705"/>
      <c r="G11" s="730"/>
      <c r="H11" s="707"/>
      <c r="I11" s="15"/>
      <c r="J11" s="731" t="e">
        <f>AVERAGE(I11:I15)</f>
        <v>#DIV/0!</v>
      </c>
      <c r="K11" s="8"/>
      <c r="L11" s="18"/>
      <c r="M11" s="18"/>
      <c r="N11" s="18"/>
      <c r="O11" s="7"/>
      <c r="P11" s="7"/>
      <c r="Q11" s="7"/>
      <c r="R11" s="7"/>
      <c r="S11" s="7"/>
      <c r="T11" s="7"/>
      <c r="U11" s="11"/>
      <c r="V11" s="5"/>
      <c r="W11" s="5"/>
      <c r="X11" s="5"/>
      <c r="Y11" s="5"/>
      <c r="Z11" s="5"/>
    </row>
    <row r="12" spans="1:26" ht="30" customHeight="1">
      <c r="A12" s="7"/>
      <c r="B12" s="719"/>
      <c r="C12" s="709" t="s">
        <v>439</v>
      </c>
      <c r="D12" s="707"/>
      <c r="E12" s="707"/>
      <c r="F12" s="705"/>
      <c r="G12" s="730"/>
      <c r="H12" s="707"/>
      <c r="I12" s="15"/>
      <c r="J12" s="732"/>
      <c r="K12" s="8"/>
      <c r="L12" s="18"/>
      <c r="M12" s="18"/>
      <c r="N12" s="18"/>
      <c r="O12" s="7"/>
      <c r="P12" s="7"/>
      <c r="Q12" s="7"/>
      <c r="R12" s="7"/>
      <c r="S12" s="7"/>
      <c r="T12" s="7"/>
      <c r="U12" s="11"/>
      <c r="V12" s="5"/>
      <c r="W12" s="5"/>
      <c r="X12" s="5"/>
      <c r="Y12" s="5"/>
      <c r="Z12" s="5"/>
    </row>
    <row r="13" spans="1:26" ht="30" customHeight="1">
      <c r="A13" s="7"/>
      <c r="B13" s="719"/>
      <c r="C13" s="709" t="s">
        <v>440</v>
      </c>
      <c r="D13" s="707"/>
      <c r="E13" s="707"/>
      <c r="F13" s="705"/>
      <c r="G13" s="730"/>
      <c r="H13" s="707"/>
      <c r="I13" s="15"/>
      <c r="J13" s="732"/>
      <c r="K13" s="8"/>
      <c r="L13" s="18"/>
      <c r="M13" s="18"/>
      <c r="N13" s="18"/>
      <c r="O13" s="7"/>
      <c r="P13" s="7"/>
      <c r="Q13" s="7"/>
      <c r="R13" s="7"/>
      <c r="S13" s="7"/>
      <c r="T13" s="7"/>
      <c r="U13" s="11"/>
      <c r="V13" s="5"/>
      <c r="W13" s="5"/>
      <c r="X13" s="5"/>
      <c r="Y13" s="5"/>
      <c r="Z13" s="5"/>
    </row>
    <row r="14" spans="1:26" ht="30" customHeight="1">
      <c r="A14" s="7"/>
      <c r="B14" s="719"/>
      <c r="C14" s="709" t="s">
        <v>441</v>
      </c>
      <c r="D14" s="707"/>
      <c r="E14" s="707"/>
      <c r="F14" s="705"/>
      <c r="G14" s="730"/>
      <c r="H14" s="707"/>
      <c r="I14" s="15"/>
      <c r="J14" s="732"/>
      <c r="K14" s="8"/>
      <c r="L14" s="18"/>
      <c r="M14" s="18"/>
      <c r="N14" s="18"/>
      <c r="O14" s="7"/>
      <c r="P14" s="7"/>
      <c r="Q14" s="7"/>
      <c r="R14" s="7"/>
      <c r="S14" s="7"/>
      <c r="T14" s="7"/>
      <c r="U14" s="11"/>
      <c r="V14" s="5"/>
      <c r="W14" s="5"/>
      <c r="X14" s="5"/>
      <c r="Y14" s="5"/>
      <c r="Z14" s="5"/>
    </row>
    <row r="15" spans="1:26" ht="33.75" customHeight="1">
      <c r="A15" s="7"/>
      <c r="B15" s="720"/>
      <c r="C15" s="708" t="s">
        <v>442</v>
      </c>
      <c r="D15" s="707"/>
      <c r="E15" s="707"/>
      <c r="F15" s="705"/>
      <c r="G15" s="730"/>
      <c r="H15" s="707"/>
      <c r="I15" s="15"/>
      <c r="J15" s="733"/>
      <c r="K15" s="8"/>
      <c r="L15" s="18"/>
      <c r="M15" s="18"/>
      <c r="N15" s="18"/>
      <c r="O15" s="7"/>
      <c r="P15" s="7"/>
      <c r="Q15" s="7"/>
      <c r="R15" s="7"/>
      <c r="S15" s="7"/>
      <c r="T15" s="7"/>
      <c r="U15" s="11"/>
      <c r="V15" s="5"/>
      <c r="W15" s="5"/>
      <c r="X15" s="5"/>
      <c r="Y15" s="5"/>
      <c r="Z15" s="5"/>
    </row>
    <row r="16" spans="1:26" ht="28.5" customHeight="1">
      <c r="A16" s="7"/>
      <c r="B16" s="736" t="s">
        <v>443</v>
      </c>
      <c r="C16" s="708" t="s">
        <v>444</v>
      </c>
      <c r="D16" s="707"/>
      <c r="E16" s="707"/>
      <c r="F16" s="705"/>
      <c r="G16" s="730"/>
      <c r="H16" s="707"/>
      <c r="I16" s="15"/>
      <c r="J16" s="731" t="e">
        <f>AVERAGE(I16:I20)</f>
        <v>#DIV/0!</v>
      </c>
      <c r="K16" s="8"/>
      <c r="L16" s="18"/>
      <c r="M16" s="18"/>
      <c r="N16" s="18"/>
      <c r="O16" s="7"/>
      <c r="P16" s="7"/>
      <c r="Q16" s="7"/>
      <c r="R16" s="7"/>
      <c r="S16" s="7"/>
      <c r="T16" s="7"/>
      <c r="U16" s="11"/>
      <c r="V16" s="5"/>
      <c r="W16" s="5"/>
      <c r="X16" s="5"/>
      <c r="Y16" s="5"/>
      <c r="Z16" s="5"/>
    </row>
    <row r="17" spans="1:26" ht="37.5" customHeight="1">
      <c r="A17" s="7"/>
      <c r="B17" s="719"/>
      <c r="C17" s="708" t="s">
        <v>445</v>
      </c>
      <c r="D17" s="707"/>
      <c r="E17" s="707"/>
      <c r="F17" s="705"/>
      <c r="G17" s="730"/>
      <c r="H17" s="707"/>
      <c r="I17" s="15"/>
      <c r="J17" s="732"/>
      <c r="K17" s="8"/>
      <c r="L17" s="18"/>
      <c r="M17" s="18"/>
      <c r="N17" s="18"/>
      <c r="O17" s="7"/>
      <c r="P17" s="7"/>
      <c r="Q17" s="7"/>
      <c r="R17" s="7"/>
      <c r="S17" s="7"/>
      <c r="T17" s="7"/>
      <c r="U17" s="11"/>
      <c r="V17" s="5"/>
      <c r="W17" s="5"/>
      <c r="X17" s="5"/>
      <c r="Y17" s="5"/>
      <c r="Z17" s="5"/>
    </row>
    <row r="18" spans="1:26" ht="26.25" customHeight="1">
      <c r="A18" s="7"/>
      <c r="B18" s="719"/>
      <c r="C18" s="708" t="s">
        <v>446</v>
      </c>
      <c r="D18" s="707"/>
      <c r="E18" s="707"/>
      <c r="F18" s="705"/>
      <c r="G18" s="730"/>
      <c r="H18" s="707"/>
      <c r="I18" s="15"/>
      <c r="J18" s="732"/>
      <c r="K18" s="8"/>
      <c r="L18" s="18"/>
      <c r="M18" s="18"/>
      <c r="N18" s="18"/>
      <c r="O18" s="7"/>
      <c r="P18" s="7"/>
      <c r="Q18" s="7"/>
      <c r="R18" s="7"/>
      <c r="S18" s="7"/>
      <c r="T18" s="7"/>
      <c r="U18" s="11"/>
      <c r="V18" s="5"/>
      <c r="W18" s="5"/>
      <c r="X18" s="5"/>
      <c r="Y18" s="5"/>
      <c r="Z18" s="5"/>
    </row>
    <row r="19" spans="1:26" ht="33.75" customHeight="1">
      <c r="A19" s="7"/>
      <c r="B19" s="719"/>
      <c r="C19" s="708" t="s">
        <v>447</v>
      </c>
      <c r="D19" s="707"/>
      <c r="E19" s="707"/>
      <c r="F19" s="705"/>
      <c r="G19" s="730"/>
      <c r="H19" s="707"/>
      <c r="I19" s="15"/>
      <c r="J19" s="732"/>
      <c r="K19" s="8"/>
      <c r="L19" s="18"/>
      <c r="M19" s="18"/>
      <c r="N19" s="18"/>
      <c r="O19" s="7"/>
      <c r="P19" s="7"/>
      <c r="Q19" s="7"/>
      <c r="R19" s="7"/>
      <c r="S19" s="7"/>
      <c r="T19" s="7"/>
      <c r="U19" s="11"/>
      <c r="V19" s="5"/>
      <c r="W19" s="5"/>
      <c r="X19" s="5"/>
      <c r="Y19" s="5"/>
      <c r="Z19" s="5"/>
    </row>
    <row r="20" spans="1:26" ht="28.5" customHeight="1">
      <c r="A20" s="7"/>
      <c r="B20" s="720"/>
      <c r="C20" s="708" t="s">
        <v>448</v>
      </c>
      <c r="D20" s="707"/>
      <c r="E20" s="707"/>
      <c r="F20" s="705"/>
      <c r="G20" s="730"/>
      <c r="H20" s="707"/>
      <c r="I20" s="15"/>
      <c r="J20" s="733"/>
      <c r="K20" s="8"/>
      <c r="L20" s="18"/>
      <c r="M20" s="18"/>
      <c r="N20" s="18"/>
      <c r="O20" s="7"/>
      <c r="P20" s="7"/>
      <c r="Q20" s="7"/>
      <c r="R20" s="7"/>
      <c r="S20" s="7"/>
      <c r="T20" s="7"/>
      <c r="U20" s="11"/>
      <c r="V20" s="5"/>
      <c r="W20" s="5"/>
      <c r="X20" s="5"/>
      <c r="Y20" s="5"/>
      <c r="Z20" s="5"/>
    </row>
    <row r="21" spans="1:26" ht="25.5" customHeight="1">
      <c r="A21" s="7"/>
      <c r="B21" s="710" t="s">
        <v>449</v>
      </c>
      <c r="C21" s="711"/>
      <c r="D21" s="711"/>
      <c r="E21" s="711"/>
      <c r="F21" s="711"/>
      <c r="G21" s="711"/>
      <c r="H21" s="711"/>
      <c r="I21" s="712"/>
      <c r="J21" s="19" t="e">
        <f>AVERAGE(J6:J20)*0.025</f>
        <v>#DIV/0!</v>
      </c>
      <c r="K21" s="20"/>
      <c r="L21" s="18"/>
      <c r="M21" s="18"/>
      <c r="N21" s="18"/>
      <c r="O21" s="7"/>
      <c r="P21" s="7"/>
      <c r="Q21" s="7"/>
      <c r="R21" s="7"/>
      <c r="S21" s="7"/>
      <c r="T21" s="7"/>
      <c r="U21" s="11"/>
      <c r="V21" s="5"/>
      <c r="W21" s="5"/>
      <c r="X21" s="5"/>
      <c r="Y21" s="5"/>
      <c r="Z21" s="5"/>
    </row>
    <row r="22" spans="1:26" ht="49.5" customHeight="1">
      <c r="A22" s="7"/>
      <c r="B22" s="745" t="s">
        <v>450</v>
      </c>
      <c r="C22" s="746"/>
      <c r="D22" s="746"/>
      <c r="E22" s="746"/>
      <c r="F22" s="746"/>
      <c r="G22" s="746"/>
      <c r="H22" s="746"/>
      <c r="I22" s="746"/>
      <c r="J22" s="746"/>
      <c r="K22" s="8"/>
      <c r="L22" s="18"/>
      <c r="M22" s="18"/>
      <c r="N22" s="18"/>
      <c r="O22" s="7"/>
      <c r="P22" s="7"/>
      <c r="Q22" s="7"/>
      <c r="R22" s="7"/>
      <c r="S22" s="7"/>
      <c r="T22" s="7"/>
      <c r="U22" s="11"/>
      <c r="V22" s="5"/>
      <c r="W22" s="5"/>
      <c r="X22" s="5"/>
      <c r="Y22" s="5"/>
      <c r="Z22" s="5"/>
    </row>
    <row r="23" spans="1:26" ht="25.5" customHeight="1">
      <c r="A23" s="7"/>
      <c r="B23" s="735" t="s">
        <v>412</v>
      </c>
      <c r="C23" s="723" t="s">
        <v>413</v>
      </c>
      <c r="D23" s="724"/>
      <c r="E23" s="724"/>
      <c r="F23" s="725"/>
      <c r="G23" s="723" t="s">
        <v>414</v>
      </c>
      <c r="H23" s="725"/>
      <c r="I23" s="743" t="s">
        <v>451</v>
      </c>
      <c r="J23" s="722" t="s">
        <v>416</v>
      </c>
      <c r="K23" s="8"/>
      <c r="L23" s="18"/>
      <c r="M23" s="18"/>
      <c r="N23" s="18"/>
      <c r="O23" s="7"/>
      <c r="P23" s="7"/>
      <c r="Q23" s="7"/>
      <c r="R23" s="7"/>
      <c r="S23" s="7"/>
      <c r="T23" s="7"/>
      <c r="U23" s="11"/>
      <c r="V23" s="5"/>
      <c r="W23" s="5"/>
      <c r="X23" s="5"/>
      <c r="Y23" s="5"/>
      <c r="Z23" s="5"/>
    </row>
    <row r="24" spans="1:26" ht="39.75" customHeight="1">
      <c r="A24" s="7"/>
      <c r="B24" s="720"/>
      <c r="C24" s="726"/>
      <c r="D24" s="727"/>
      <c r="E24" s="727"/>
      <c r="F24" s="728"/>
      <c r="G24" s="726"/>
      <c r="H24" s="728"/>
      <c r="I24" s="747"/>
      <c r="J24" s="703"/>
      <c r="K24" s="8"/>
      <c r="L24" s="18"/>
      <c r="M24" s="18"/>
      <c r="N24" s="18"/>
      <c r="O24" s="7"/>
      <c r="P24" s="7"/>
      <c r="Q24" s="7"/>
      <c r="R24" s="7"/>
      <c r="S24" s="7"/>
      <c r="T24" s="7"/>
      <c r="U24" s="11"/>
      <c r="V24" s="5"/>
      <c r="W24" s="5"/>
      <c r="X24" s="5"/>
      <c r="Y24" s="5"/>
      <c r="Z24" s="5"/>
    </row>
    <row r="25" spans="1:26" ht="25.5" customHeight="1">
      <c r="A25" s="7"/>
      <c r="B25" s="718" t="s">
        <v>452</v>
      </c>
      <c r="C25" s="706" t="s">
        <v>453</v>
      </c>
      <c r="D25" s="707"/>
      <c r="E25" s="707"/>
      <c r="F25" s="705"/>
      <c r="G25" s="704"/>
      <c r="H25" s="705"/>
      <c r="I25" s="15"/>
      <c r="J25" s="701" t="e">
        <f>AVERAGE(I25:I29)</f>
        <v>#DIV/0!</v>
      </c>
      <c r="K25" s="8"/>
      <c r="L25" s="18"/>
      <c r="M25" s="18"/>
      <c r="N25" s="18"/>
      <c r="O25" s="7"/>
      <c r="P25" s="7"/>
      <c r="Q25" s="7"/>
      <c r="R25" s="7"/>
      <c r="S25" s="7"/>
      <c r="T25" s="7"/>
      <c r="U25" s="11"/>
      <c r="V25" s="5"/>
      <c r="W25" s="5"/>
      <c r="X25" s="5"/>
      <c r="Y25" s="5"/>
      <c r="Z25" s="5"/>
    </row>
    <row r="26" spans="1:26" ht="25.5" customHeight="1">
      <c r="A26" s="7"/>
      <c r="B26" s="719"/>
      <c r="C26" s="706" t="s">
        <v>454</v>
      </c>
      <c r="D26" s="707"/>
      <c r="E26" s="707"/>
      <c r="F26" s="705"/>
      <c r="G26" s="704"/>
      <c r="H26" s="705"/>
      <c r="I26" s="15"/>
      <c r="J26" s="702"/>
      <c r="K26" s="8"/>
      <c r="L26" s="7"/>
      <c r="M26" s="7"/>
      <c r="N26" s="7"/>
      <c r="O26" s="7"/>
      <c r="P26" s="7"/>
      <c r="Q26" s="7"/>
      <c r="R26" s="7"/>
      <c r="S26" s="7"/>
      <c r="T26" s="7"/>
      <c r="U26" s="11"/>
      <c r="V26" s="5"/>
      <c r="W26" s="5"/>
      <c r="X26" s="5"/>
      <c r="Y26" s="5"/>
      <c r="Z26" s="5"/>
    </row>
    <row r="27" spans="1:26" ht="25.5" customHeight="1">
      <c r="A27" s="7"/>
      <c r="B27" s="719"/>
      <c r="C27" s="706" t="s">
        <v>455</v>
      </c>
      <c r="D27" s="707"/>
      <c r="E27" s="707"/>
      <c r="F27" s="705"/>
      <c r="G27" s="704"/>
      <c r="H27" s="705"/>
      <c r="I27" s="15"/>
      <c r="J27" s="702"/>
      <c r="K27" s="8"/>
      <c r="L27" s="7"/>
      <c r="M27" s="7"/>
      <c r="N27" s="7"/>
      <c r="O27" s="7"/>
      <c r="P27" s="7"/>
      <c r="Q27" s="7"/>
      <c r="R27" s="7"/>
      <c r="S27" s="7"/>
      <c r="T27" s="7"/>
      <c r="U27" s="11"/>
      <c r="V27" s="5"/>
      <c r="W27" s="5"/>
      <c r="X27" s="5"/>
      <c r="Y27" s="5"/>
      <c r="Z27" s="5"/>
    </row>
    <row r="28" spans="1:26" ht="25.5" customHeight="1">
      <c r="A28" s="7"/>
      <c r="B28" s="719"/>
      <c r="C28" s="706" t="s">
        <v>456</v>
      </c>
      <c r="D28" s="707"/>
      <c r="E28" s="707"/>
      <c r="F28" s="705"/>
      <c r="G28" s="704"/>
      <c r="H28" s="705"/>
      <c r="I28" s="15"/>
      <c r="J28" s="702"/>
      <c r="K28" s="8"/>
      <c r="L28" s="7"/>
      <c r="M28" s="7"/>
      <c r="N28" s="7"/>
      <c r="O28" s="7"/>
      <c r="P28" s="7"/>
      <c r="Q28" s="7"/>
      <c r="R28" s="7"/>
      <c r="S28" s="7"/>
      <c r="T28" s="7"/>
      <c r="U28" s="11"/>
      <c r="V28" s="5"/>
      <c r="W28" s="5"/>
      <c r="X28" s="5"/>
      <c r="Y28" s="5"/>
      <c r="Z28" s="5"/>
    </row>
    <row r="29" spans="1:26" ht="25.5" customHeight="1">
      <c r="A29" s="7"/>
      <c r="B29" s="720"/>
      <c r="C29" s="706" t="s">
        <v>457</v>
      </c>
      <c r="D29" s="707"/>
      <c r="E29" s="707"/>
      <c r="F29" s="705"/>
      <c r="G29" s="704"/>
      <c r="H29" s="705"/>
      <c r="I29" s="15"/>
      <c r="J29" s="703"/>
      <c r="K29" s="8"/>
      <c r="L29" s="7"/>
      <c r="M29" s="7"/>
      <c r="N29" s="7"/>
      <c r="O29" s="7"/>
      <c r="P29" s="7"/>
      <c r="Q29" s="7"/>
      <c r="R29" s="7"/>
      <c r="S29" s="7"/>
      <c r="T29" s="7"/>
      <c r="U29" s="11"/>
      <c r="V29" s="5"/>
      <c r="W29" s="5"/>
      <c r="X29" s="5"/>
      <c r="Y29" s="5"/>
      <c r="Z29" s="5"/>
    </row>
    <row r="30" spans="1:26" ht="25.5" customHeight="1">
      <c r="A30" s="7"/>
      <c r="B30" s="721" t="s">
        <v>458</v>
      </c>
      <c r="C30" s="706" t="s">
        <v>459</v>
      </c>
      <c r="D30" s="707"/>
      <c r="E30" s="707"/>
      <c r="F30" s="705"/>
      <c r="G30" s="704"/>
      <c r="H30" s="705"/>
      <c r="I30" s="15"/>
      <c r="J30" s="701" t="e">
        <f>AVERAGE(I30:I34)</f>
        <v>#DIV/0!</v>
      </c>
      <c r="K30" s="8"/>
      <c r="L30" s="7"/>
      <c r="M30" s="7"/>
      <c r="N30" s="7"/>
      <c r="O30" s="7"/>
      <c r="P30" s="7"/>
      <c r="Q30" s="7"/>
      <c r="R30" s="7"/>
      <c r="S30" s="7"/>
      <c r="T30" s="7"/>
      <c r="U30" s="11"/>
      <c r="V30" s="5"/>
      <c r="W30" s="5"/>
      <c r="X30" s="5"/>
      <c r="Y30" s="5"/>
      <c r="Z30" s="5"/>
    </row>
    <row r="31" spans="1:26" ht="25.5" customHeight="1">
      <c r="A31" s="7"/>
      <c r="B31" s="719"/>
      <c r="C31" s="706" t="s">
        <v>460</v>
      </c>
      <c r="D31" s="707"/>
      <c r="E31" s="707"/>
      <c r="F31" s="705"/>
      <c r="G31" s="704"/>
      <c r="H31" s="705"/>
      <c r="I31" s="15"/>
      <c r="J31" s="702"/>
      <c r="K31" s="8"/>
      <c r="L31" s="7"/>
      <c r="M31" s="7"/>
      <c r="N31" s="7"/>
      <c r="O31" s="7"/>
      <c r="P31" s="7"/>
      <c r="Q31" s="7"/>
      <c r="R31" s="7"/>
      <c r="S31" s="7"/>
      <c r="T31" s="7"/>
      <c r="U31" s="11"/>
      <c r="V31" s="5"/>
      <c r="W31" s="5"/>
      <c r="X31" s="5"/>
      <c r="Y31" s="5"/>
      <c r="Z31" s="5"/>
    </row>
    <row r="32" spans="1:26" ht="25.5" customHeight="1">
      <c r="A32" s="7"/>
      <c r="B32" s="719"/>
      <c r="C32" s="706" t="s">
        <v>461</v>
      </c>
      <c r="D32" s="707"/>
      <c r="E32" s="707"/>
      <c r="F32" s="705"/>
      <c r="G32" s="704"/>
      <c r="H32" s="705"/>
      <c r="I32" s="15"/>
      <c r="J32" s="702"/>
      <c r="K32" s="8"/>
      <c r="L32" s="7"/>
      <c r="M32" s="7"/>
      <c r="N32" s="7"/>
      <c r="O32" s="7"/>
      <c r="P32" s="7"/>
      <c r="Q32" s="7"/>
      <c r="R32" s="7"/>
      <c r="S32" s="7"/>
      <c r="T32" s="7"/>
      <c r="U32" s="11"/>
      <c r="V32" s="5"/>
      <c r="W32" s="5"/>
      <c r="X32" s="5"/>
      <c r="Y32" s="5"/>
      <c r="Z32" s="5"/>
    </row>
    <row r="33" spans="1:26" ht="25.5" customHeight="1">
      <c r="A33" s="7"/>
      <c r="B33" s="719"/>
      <c r="C33" s="706" t="s">
        <v>462</v>
      </c>
      <c r="D33" s="707"/>
      <c r="E33" s="707"/>
      <c r="F33" s="705"/>
      <c r="G33" s="704"/>
      <c r="H33" s="705"/>
      <c r="I33" s="15"/>
      <c r="J33" s="702"/>
      <c r="K33" s="8"/>
      <c r="L33" s="7"/>
      <c r="M33" s="7"/>
      <c r="N33" s="7"/>
      <c r="O33" s="7"/>
      <c r="P33" s="7"/>
      <c r="Q33" s="7"/>
      <c r="R33" s="7"/>
      <c r="S33" s="7"/>
      <c r="T33" s="7"/>
      <c r="U33" s="11"/>
      <c r="V33" s="5"/>
      <c r="W33" s="5"/>
      <c r="X33" s="5"/>
      <c r="Y33" s="5"/>
      <c r="Z33" s="5"/>
    </row>
    <row r="34" spans="1:26" ht="25.5" customHeight="1">
      <c r="A34" s="7"/>
      <c r="B34" s="720"/>
      <c r="C34" s="706" t="s">
        <v>463</v>
      </c>
      <c r="D34" s="707"/>
      <c r="E34" s="707"/>
      <c r="F34" s="705"/>
      <c r="G34" s="704"/>
      <c r="H34" s="705"/>
      <c r="I34" s="15"/>
      <c r="J34" s="703"/>
      <c r="K34" s="8"/>
      <c r="L34" s="7"/>
      <c r="M34" s="7"/>
      <c r="N34" s="7"/>
      <c r="O34" s="7"/>
      <c r="P34" s="7"/>
      <c r="Q34" s="7"/>
      <c r="R34" s="7"/>
      <c r="S34" s="7"/>
      <c r="T34" s="7"/>
      <c r="U34" s="11"/>
      <c r="V34" s="5"/>
      <c r="W34" s="5"/>
      <c r="X34" s="5"/>
      <c r="Y34" s="5"/>
      <c r="Z34" s="5"/>
    </row>
    <row r="35" spans="1:26" ht="25.5" customHeight="1">
      <c r="A35" s="7"/>
      <c r="B35" s="718" t="s">
        <v>464</v>
      </c>
      <c r="C35" s="706" t="s">
        <v>465</v>
      </c>
      <c r="D35" s="707"/>
      <c r="E35" s="707"/>
      <c r="F35" s="705"/>
      <c r="G35" s="704"/>
      <c r="H35" s="705"/>
      <c r="I35" s="15"/>
      <c r="J35" s="701" t="e">
        <f>AVERAGE(I35:I39)</f>
        <v>#DIV/0!</v>
      </c>
      <c r="K35" s="8"/>
      <c r="L35" s="7"/>
      <c r="M35" s="7"/>
      <c r="N35" s="7"/>
      <c r="O35" s="7"/>
      <c r="P35" s="7"/>
      <c r="Q35" s="7"/>
      <c r="R35" s="7"/>
      <c r="S35" s="7"/>
      <c r="T35" s="7"/>
      <c r="U35" s="11"/>
      <c r="V35" s="5"/>
      <c r="W35" s="5"/>
      <c r="X35" s="5"/>
      <c r="Y35" s="5"/>
      <c r="Z35" s="5"/>
    </row>
    <row r="36" spans="1:26" ht="25.5" customHeight="1">
      <c r="A36" s="7"/>
      <c r="B36" s="719"/>
      <c r="C36" s="706" t="s">
        <v>466</v>
      </c>
      <c r="D36" s="707"/>
      <c r="E36" s="707"/>
      <c r="F36" s="705"/>
      <c r="G36" s="704"/>
      <c r="H36" s="705"/>
      <c r="I36" s="15"/>
      <c r="J36" s="702"/>
      <c r="K36" s="8"/>
      <c r="L36" s="7"/>
      <c r="M36" s="7"/>
      <c r="N36" s="7"/>
      <c r="O36" s="7"/>
      <c r="P36" s="7"/>
      <c r="Q36" s="7"/>
      <c r="R36" s="7"/>
      <c r="S36" s="7"/>
      <c r="T36" s="7"/>
      <c r="U36" s="11"/>
      <c r="V36" s="5"/>
      <c r="W36" s="5"/>
      <c r="X36" s="5"/>
      <c r="Y36" s="5"/>
      <c r="Z36" s="5"/>
    </row>
    <row r="37" spans="1:26" ht="34.5" customHeight="1">
      <c r="A37" s="7"/>
      <c r="B37" s="719"/>
      <c r="C37" s="709" t="s">
        <v>467</v>
      </c>
      <c r="D37" s="707"/>
      <c r="E37" s="707"/>
      <c r="F37" s="705"/>
      <c r="G37" s="704"/>
      <c r="H37" s="705"/>
      <c r="I37" s="15"/>
      <c r="J37" s="702"/>
      <c r="K37" s="8"/>
      <c r="L37" s="7"/>
      <c r="M37" s="7"/>
      <c r="N37" s="7"/>
      <c r="O37" s="7"/>
      <c r="P37" s="7"/>
      <c r="Q37" s="7"/>
      <c r="R37" s="7"/>
      <c r="S37" s="7"/>
      <c r="T37" s="7"/>
      <c r="U37" s="11"/>
      <c r="V37" s="5"/>
      <c r="W37" s="5"/>
      <c r="X37" s="5"/>
      <c r="Y37" s="5"/>
      <c r="Z37" s="5"/>
    </row>
    <row r="38" spans="1:26" ht="25.5" customHeight="1">
      <c r="A38" s="7"/>
      <c r="B38" s="719"/>
      <c r="C38" s="706" t="s">
        <v>468</v>
      </c>
      <c r="D38" s="707"/>
      <c r="E38" s="707"/>
      <c r="F38" s="705"/>
      <c r="G38" s="704"/>
      <c r="H38" s="705"/>
      <c r="I38" s="15"/>
      <c r="J38" s="702"/>
      <c r="K38" s="8"/>
      <c r="L38" s="7"/>
      <c r="M38" s="7"/>
      <c r="N38" s="7"/>
      <c r="O38" s="7"/>
      <c r="P38" s="7"/>
      <c r="Q38" s="7"/>
      <c r="R38" s="7"/>
      <c r="S38" s="7"/>
      <c r="T38" s="7"/>
      <c r="U38" s="11"/>
      <c r="V38" s="5"/>
      <c r="W38" s="5"/>
      <c r="X38" s="5"/>
      <c r="Y38" s="5"/>
      <c r="Z38" s="5"/>
    </row>
    <row r="39" spans="1:26" ht="42.75" customHeight="1">
      <c r="A39" s="7"/>
      <c r="B39" s="720"/>
      <c r="C39" s="708" t="s">
        <v>469</v>
      </c>
      <c r="D39" s="707"/>
      <c r="E39" s="707"/>
      <c r="F39" s="705"/>
      <c r="G39" s="704"/>
      <c r="H39" s="705"/>
      <c r="I39" s="15"/>
      <c r="J39" s="703"/>
      <c r="K39" s="8"/>
      <c r="L39" s="7"/>
      <c r="M39" s="7"/>
      <c r="N39" s="7"/>
      <c r="O39" s="7"/>
      <c r="P39" s="7"/>
      <c r="Q39" s="7"/>
      <c r="R39" s="7"/>
      <c r="S39" s="7"/>
      <c r="T39" s="7"/>
      <c r="U39" s="11"/>
      <c r="V39" s="5"/>
      <c r="W39" s="5"/>
      <c r="X39" s="5"/>
      <c r="Y39" s="5"/>
      <c r="Z39" s="5"/>
    </row>
    <row r="40" spans="1:26" ht="25.5" customHeight="1">
      <c r="A40" s="7"/>
      <c r="B40" s="718" t="s">
        <v>470</v>
      </c>
      <c r="C40" s="706" t="s">
        <v>471</v>
      </c>
      <c r="D40" s="707"/>
      <c r="E40" s="707"/>
      <c r="F40" s="705"/>
      <c r="G40" s="704"/>
      <c r="H40" s="705"/>
      <c r="I40" s="15"/>
      <c r="J40" s="701" t="e">
        <f>AVERAGE(I40:I44)</f>
        <v>#DIV/0!</v>
      </c>
      <c r="K40" s="8"/>
      <c r="L40" s="7"/>
      <c r="M40" s="7"/>
      <c r="N40" s="7"/>
      <c r="O40" s="7"/>
      <c r="P40" s="7"/>
      <c r="Q40" s="7"/>
      <c r="R40" s="7"/>
      <c r="S40" s="7"/>
      <c r="T40" s="7"/>
      <c r="U40" s="11"/>
      <c r="V40" s="5"/>
      <c r="W40" s="5"/>
      <c r="X40" s="5"/>
      <c r="Y40" s="5"/>
      <c r="Z40" s="5"/>
    </row>
    <row r="41" spans="1:26" ht="25.5" customHeight="1">
      <c r="A41" s="7"/>
      <c r="B41" s="719"/>
      <c r="C41" s="706" t="s">
        <v>472</v>
      </c>
      <c r="D41" s="707"/>
      <c r="E41" s="707"/>
      <c r="F41" s="705"/>
      <c r="G41" s="704"/>
      <c r="H41" s="705"/>
      <c r="I41" s="15"/>
      <c r="J41" s="702"/>
      <c r="K41" s="8"/>
      <c r="L41" s="7"/>
      <c r="M41" s="7"/>
      <c r="N41" s="7"/>
      <c r="O41" s="7"/>
      <c r="P41" s="7"/>
      <c r="Q41" s="7"/>
      <c r="R41" s="7"/>
      <c r="S41" s="7"/>
      <c r="T41" s="7"/>
      <c r="U41" s="11"/>
      <c r="V41" s="5"/>
      <c r="W41" s="5"/>
      <c r="X41" s="5"/>
      <c r="Y41" s="5"/>
      <c r="Z41" s="5"/>
    </row>
    <row r="42" spans="1:26" ht="25.5" customHeight="1">
      <c r="A42" s="7"/>
      <c r="B42" s="719"/>
      <c r="C42" s="706" t="s">
        <v>473</v>
      </c>
      <c r="D42" s="707"/>
      <c r="E42" s="707"/>
      <c r="F42" s="705"/>
      <c r="G42" s="704"/>
      <c r="H42" s="705"/>
      <c r="I42" s="15"/>
      <c r="J42" s="702"/>
      <c r="K42" s="8"/>
      <c r="L42" s="7"/>
      <c r="M42" s="7"/>
      <c r="N42" s="7"/>
      <c r="O42" s="7"/>
      <c r="P42" s="7"/>
      <c r="Q42" s="7"/>
      <c r="R42" s="7"/>
      <c r="S42" s="7"/>
      <c r="T42" s="7"/>
      <c r="U42" s="11"/>
      <c r="V42" s="5"/>
      <c r="W42" s="5"/>
      <c r="X42" s="5"/>
      <c r="Y42" s="5"/>
      <c r="Z42" s="5"/>
    </row>
    <row r="43" spans="1:26" ht="25.5" customHeight="1">
      <c r="A43" s="7"/>
      <c r="B43" s="719"/>
      <c r="C43" s="706" t="s">
        <v>474</v>
      </c>
      <c r="D43" s="707"/>
      <c r="E43" s="707"/>
      <c r="F43" s="705"/>
      <c r="G43" s="704"/>
      <c r="H43" s="705"/>
      <c r="I43" s="15"/>
      <c r="J43" s="702"/>
      <c r="K43" s="8"/>
      <c r="L43" s="7"/>
      <c r="M43" s="7"/>
      <c r="N43" s="7"/>
      <c r="O43" s="7"/>
      <c r="P43" s="7"/>
      <c r="Q43" s="7"/>
      <c r="R43" s="7"/>
      <c r="S43" s="7"/>
      <c r="T43" s="7"/>
      <c r="U43" s="11"/>
      <c r="V43" s="5"/>
      <c r="W43" s="5"/>
      <c r="X43" s="5"/>
      <c r="Y43" s="5"/>
      <c r="Z43" s="5"/>
    </row>
    <row r="44" spans="1:26" ht="25.5" customHeight="1">
      <c r="A44" s="7"/>
      <c r="B44" s="720"/>
      <c r="C44" s="708" t="s">
        <v>475</v>
      </c>
      <c r="D44" s="707"/>
      <c r="E44" s="707"/>
      <c r="F44" s="705"/>
      <c r="G44" s="704"/>
      <c r="H44" s="705"/>
      <c r="I44" s="15"/>
      <c r="J44" s="703"/>
      <c r="K44" s="8"/>
      <c r="L44" s="7"/>
      <c r="M44" s="7"/>
      <c r="N44" s="7"/>
      <c r="O44" s="7"/>
      <c r="P44" s="7"/>
      <c r="Q44" s="7"/>
      <c r="R44" s="7"/>
      <c r="S44" s="7"/>
      <c r="T44" s="7"/>
      <c r="U44" s="11"/>
      <c r="V44" s="5"/>
      <c r="W44" s="5"/>
      <c r="X44" s="5"/>
      <c r="Y44" s="5"/>
      <c r="Z44" s="5"/>
    </row>
    <row r="45" spans="1:26" ht="25.5" customHeight="1">
      <c r="A45" s="7"/>
      <c r="B45" s="718" t="s">
        <v>476</v>
      </c>
      <c r="C45" s="706" t="s">
        <v>477</v>
      </c>
      <c r="D45" s="707"/>
      <c r="E45" s="707"/>
      <c r="F45" s="705"/>
      <c r="G45" s="704"/>
      <c r="H45" s="705"/>
      <c r="I45" s="15"/>
      <c r="J45" s="701" t="e">
        <f>AVERAGE(I45:I49)</f>
        <v>#DIV/0!</v>
      </c>
      <c r="K45" s="8"/>
      <c r="L45" s="7"/>
      <c r="M45" s="7"/>
      <c r="N45" s="7"/>
      <c r="O45" s="7"/>
      <c r="P45" s="7"/>
      <c r="Q45" s="7"/>
      <c r="R45" s="7"/>
      <c r="S45" s="7"/>
      <c r="T45" s="7"/>
      <c r="U45" s="11"/>
      <c r="V45" s="5"/>
      <c r="W45" s="5"/>
      <c r="X45" s="5"/>
      <c r="Y45" s="5"/>
      <c r="Z45" s="5"/>
    </row>
    <row r="46" spans="1:26" ht="25.5" customHeight="1">
      <c r="A46" s="7"/>
      <c r="B46" s="719"/>
      <c r="C46" s="706" t="s">
        <v>478</v>
      </c>
      <c r="D46" s="707"/>
      <c r="E46" s="707"/>
      <c r="F46" s="705"/>
      <c r="G46" s="704"/>
      <c r="H46" s="705"/>
      <c r="I46" s="15"/>
      <c r="J46" s="702"/>
      <c r="K46" s="8"/>
      <c r="L46" s="7"/>
      <c r="M46" s="7"/>
      <c r="N46" s="7"/>
      <c r="O46" s="7"/>
      <c r="P46" s="7"/>
      <c r="Q46" s="7"/>
      <c r="R46" s="7"/>
      <c r="S46" s="7"/>
      <c r="T46" s="7"/>
      <c r="U46" s="11"/>
      <c r="V46" s="5"/>
      <c r="W46" s="5"/>
      <c r="X46" s="5"/>
      <c r="Y46" s="5"/>
      <c r="Z46" s="5"/>
    </row>
    <row r="47" spans="1:26" ht="25.5" customHeight="1">
      <c r="A47" s="7"/>
      <c r="B47" s="719"/>
      <c r="C47" s="706" t="s">
        <v>479</v>
      </c>
      <c r="D47" s="707"/>
      <c r="E47" s="707"/>
      <c r="F47" s="705"/>
      <c r="G47" s="704"/>
      <c r="H47" s="705"/>
      <c r="I47" s="15"/>
      <c r="J47" s="702"/>
      <c r="K47" s="8"/>
      <c r="L47" s="7"/>
      <c r="M47" s="7"/>
      <c r="N47" s="7"/>
      <c r="O47" s="7"/>
      <c r="P47" s="7"/>
      <c r="Q47" s="7"/>
      <c r="R47" s="7"/>
      <c r="S47" s="7"/>
      <c r="T47" s="7"/>
      <c r="U47" s="11"/>
      <c r="V47" s="5"/>
      <c r="W47" s="5"/>
      <c r="X47" s="5"/>
      <c r="Y47" s="5"/>
      <c r="Z47" s="5"/>
    </row>
    <row r="48" spans="1:26" ht="25.5" customHeight="1">
      <c r="A48" s="7"/>
      <c r="B48" s="719"/>
      <c r="C48" s="706" t="s">
        <v>480</v>
      </c>
      <c r="D48" s="707"/>
      <c r="E48" s="707"/>
      <c r="F48" s="705"/>
      <c r="G48" s="704"/>
      <c r="H48" s="705"/>
      <c r="I48" s="15"/>
      <c r="J48" s="702"/>
      <c r="K48" s="8"/>
      <c r="L48" s="7"/>
      <c r="M48" s="7"/>
      <c r="N48" s="7"/>
      <c r="O48" s="7"/>
      <c r="P48" s="7"/>
      <c r="Q48" s="7"/>
      <c r="R48" s="7"/>
      <c r="S48" s="7"/>
      <c r="T48" s="7"/>
      <c r="U48" s="11"/>
      <c r="V48" s="5"/>
      <c r="W48" s="5"/>
      <c r="X48" s="5"/>
      <c r="Y48" s="5"/>
      <c r="Z48" s="5"/>
    </row>
    <row r="49" spans="1:26" ht="25.5" customHeight="1">
      <c r="A49" s="7"/>
      <c r="B49" s="720"/>
      <c r="C49" s="706" t="s">
        <v>481</v>
      </c>
      <c r="D49" s="707"/>
      <c r="E49" s="707"/>
      <c r="F49" s="705"/>
      <c r="G49" s="704"/>
      <c r="H49" s="705"/>
      <c r="I49" s="15"/>
      <c r="J49" s="703"/>
      <c r="K49" s="8"/>
      <c r="L49" s="7"/>
      <c r="M49" s="7"/>
      <c r="N49" s="7"/>
      <c r="O49" s="7"/>
      <c r="P49" s="7"/>
      <c r="Q49" s="7"/>
      <c r="R49" s="7"/>
      <c r="S49" s="7"/>
      <c r="T49" s="7"/>
      <c r="U49" s="11"/>
      <c r="V49" s="5"/>
      <c r="W49" s="5"/>
      <c r="X49" s="5"/>
      <c r="Y49" s="5"/>
      <c r="Z49" s="5"/>
    </row>
    <row r="50" spans="1:26" ht="34.5" customHeight="1">
      <c r="A50" s="7"/>
      <c r="B50" s="718" t="s">
        <v>482</v>
      </c>
      <c r="C50" s="708" t="s">
        <v>483</v>
      </c>
      <c r="D50" s="707"/>
      <c r="E50" s="707"/>
      <c r="F50" s="705"/>
      <c r="G50" s="704"/>
      <c r="H50" s="705"/>
      <c r="I50" s="15"/>
      <c r="J50" s="701" t="e">
        <f>AVERAGE(I50:I54)</f>
        <v>#DIV/0!</v>
      </c>
      <c r="K50" s="8"/>
      <c r="L50" s="7"/>
      <c r="M50" s="7"/>
      <c r="N50" s="7"/>
      <c r="O50" s="7"/>
      <c r="P50" s="7"/>
      <c r="Q50" s="7"/>
      <c r="R50" s="7"/>
      <c r="S50" s="7"/>
      <c r="T50" s="7"/>
      <c r="U50" s="11"/>
      <c r="V50" s="5"/>
      <c r="W50" s="5"/>
      <c r="X50" s="5"/>
      <c r="Y50" s="5"/>
      <c r="Z50" s="5"/>
    </row>
    <row r="51" spans="1:26" ht="25.5" customHeight="1">
      <c r="A51" s="7"/>
      <c r="B51" s="719"/>
      <c r="C51" s="709" t="s">
        <v>484</v>
      </c>
      <c r="D51" s="707"/>
      <c r="E51" s="707"/>
      <c r="F51" s="705"/>
      <c r="G51" s="704"/>
      <c r="H51" s="705"/>
      <c r="I51" s="15"/>
      <c r="J51" s="702"/>
      <c r="K51" s="8"/>
      <c r="L51" s="7"/>
      <c r="M51" s="7"/>
      <c r="N51" s="7"/>
      <c r="O51" s="7"/>
      <c r="P51" s="7"/>
      <c r="Q51" s="7"/>
      <c r="R51" s="7"/>
      <c r="S51" s="7"/>
      <c r="T51" s="7"/>
      <c r="U51" s="11"/>
      <c r="V51" s="5"/>
      <c r="W51" s="5"/>
      <c r="X51" s="5"/>
      <c r="Y51" s="5"/>
      <c r="Z51" s="5"/>
    </row>
    <row r="52" spans="1:26" ht="24.75" customHeight="1">
      <c r="A52" s="7"/>
      <c r="B52" s="719"/>
      <c r="C52" s="709" t="s">
        <v>485</v>
      </c>
      <c r="D52" s="707"/>
      <c r="E52" s="707"/>
      <c r="F52" s="705"/>
      <c r="G52" s="704"/>
      <c r="H52" s="705"/>
      <c r="I52" s="15"/>
      <c r="J52" s="702"/>
      <c r="K52" s="8"/>
      <c r="L52" s="7"/>
      <c r="M52" s="7"/>
      <c r="N52" s="7"/>
      <c r="O52" s="7"/>
      <c r="P52" s="7"/>
      <c r="Q52" s="7"/>
      <c r="R52" s="7"/>
      <c r="S52" s="7"/>
      <c r="T52" s="7"/>
      <c r="U52" s="11"/>
      <c r="V52" s="5"/>
      <c r="W52" s="5"/>
      <c r="X52" s="5"/>
      <c r="Y52" s="5"/>
      <c r="Z52" s="5"/>
    </row>
    <row r="53" spans="1:26" ht="27" customHeight="1">
      <c r="A53" s="7"/>
      <c r="B53" s="719"/>
      <c r="C53" s="709" t="s">
        <v>486</v>
      </c>
      <c r="D53" s="707"/>
      <c r="E53" s="707"/>
      <c r="F53" s="705"/>
      <c r="G53" s="704"/>
      <c r="H53" s="705"/>
      <c r="I53" s="15"/>
      <c r="J53" s="702"/>
      <c r="K53" s="8"/>
      <c r="L53" s="7"/>
      <c r="M53" s="7"/>
      <c r="N53" s="7"/>
      <c r="O53" s="7"/>
      <c r="P53" s="7"/>
      <c r="Q53" s="7"/>
      <c r="R53" s="7"/>
      <c r="S53" s="7"/>
      <c r="T53" s="7"/>
      <c r="U53" s="11"/>
      <c r="V53" s="5"/>
      <c r="W53" s="5"/>
      <c r="X53" s="5"/>
      <c r="Y53" s="5"/>
      <c r="Z53" s="5"/>
    </row>
    <row r="54" spans="1:26" ht="22.5" customHeight="1">
      <c r="A54" s="7"/>
      <c r="B54" s="720"/>
      <c r="C54" s="709" t="s">
        <v>487</v>
      </c>
      <c r="D54" s="707"/>
      <c r="E54" s="707"/>
      <c r="F54" s="705"/>
      <c r="G54" s="704"/>
      <c r="H54" s="705"/>
      <c r="I54" s="15"/>
      <c r="J54" s="703"/>
      <c r="K54" s="8"/>
      <c r="L54" s="7"/>
      <c r="M54" s="7"/>
      <c r="N54" s="7"/>
      <c r="O54" s="7"/>
      <c r="P54" s="7"/>
      <c r="Q54" s="7"/>
      <c r="R54" s="7"/>
      <c r="S54" s="7"/>
      <c r="T54" s="7"/>
      <c r="U54" s="11"/>
      <c r="V54" s="5"/>
      <c r="W54" s="5"/>
      <c r="X54" s="5"/>
      <c r="Y54" s="5"/>
      <c r="Z54" s="5"/>
    </row>
    <row r="55" spans="1:26" ht="27" customHeight="1" thickBot="1">
      <c r="A55" s="7"/>
      <c r="B55" s="710" t="s">
        <v>488</v>
      </c>
      <c r="C55" s="711"/>
      <c r="D55" s="711"/>
      <c r="E55" s="711"/>
      <c r="F55" s="711"/>
      <c r="G55" s="711"/>
      <c r="H55" s="711"/>
      <c r="I55" s="712"/>
      <c r="J55" s="19" t="e">
        <f>AVERAGE(J25:J54)*0.025</f>
        <v>#DIV/0!</v>
      </c>
      <c r="K55" s="20"/>
      <c r="L55" s="7"/>
      <c r="M55" s="7"/>
      <c r="N55" s="7"/>
      <c r="O55" s="7"/>
      <c r="P55" s="7"/>
      <c r="Q55" s="7"/>
      <c r="R55" s="7"/>
      <c r="S55" s="7"/>
      <c r="T55" s="7"/>
      <c r="U55" s="11"/>
      <c r="V55" s="5"/>
      <c r="W55" s="5"/>
      <c r="X55" s="5"/>
      <c r="Y55" s="5"/>
      <c r="Z55" s="5"/>
    </row>
    <row r="56" spans="1:26" ht="27" customHeight="1">
      <c r="A56" s="292"/>
      <c r="B56" s="293"/>
      <c r="C56" s="294"/>
      <c r="D56" s="294"/>
      <c r="E56" s="294"/>
      <c r="F56" s="294"/>
      <c r="G56" s="294"/>
      <c r="H56" s="294"/>
      <c r="I56" s="294"/>
      <c r="J56" s="295"/>
      <c r="K56" s="296"/>
      <c r="L56" s="292"/>
      <c r="M56" s="292"/>
      <c r="N56" s="292"/>
      <c r="O56" s="292"/>
      <c r="P56" s="292"/>
      <c r="Q56" s="292"/>
      <c r="R56" s="292"/>
      <c r="S56" s="292"/>
      <c r="T56" s="292"/>
      <c r="U56" s="11"/>
      <c r="V56" s="5"/>
      <c r="W56" s="5"/>
      <c r="X56" s="5"/>
      <c r="Y56" s="5"/>
      <c r="Z56" s="5"/>
    </row>
    <row r="57" spans="1:26" ht="27" customHeight="1" thickBot="1">
      <c r="A57" s="292"/>
      <c r="B57" s="716" t="s">
        <v>417</v>
      </c>
      <c r="C57" s="717"/>
      <c r="D57" s="717"/>
      <c r="E57" s="294"/>
      <c r="F57" s="294"/>
      <c r="G57" s="294"/>
      <c r="H57" s="294"/>
      <c r="I57" s="294"/>
      <c r="J57" s="295"/>
      <c r="K57" s="296"/>
      <c r="L57" s="292"/>
      <c r="M57" s="292"/>
      <c r="N57" s="292"/>
      <c r="O57" s="292"/>
      <c r="P57" s="292"/>
      <c r="Q57" s="292"/>
      <c r="R57" s="292"/>
      <c r="S57" s="292"/>
      <c r="T57" s="292"/>
      <c r="U57" s="11"/>
      <c r="V57" s="5"/>
      <c r="W57" s="5"/>
      <c r="X57" s="5"/>
      <c r="Y57" s="5"/>
      <c r="Z57" s="5"/>
    </row>
    <row r="58" spans="1:26" ht="27" customHeight="1" thickBot="1">
      <c r="A58" s="292"/>
      <c r="B58" s="13" t="s">
        <v>418</v>
      </c>
      <c r="C58" s="14" t="s">
        <v>419</v>
      </c>
      <c r="D58" s="14" t="s">
        <v>420</v>
      </c>
      <c r="E58" s="294"/>
      <c r="F58" s="294"/>
      <c r="G58" s="294"/>
      <c r="H58" s="294"/>
      <c r="I58" s="294"/>
      <c r="J58" s="295"/>
      <c r="K58" s="296"/>
      <c r="L58" s="292"/>
      <c r="M58" s="292"/>
      <c r="N58" s="292"/>
      <c r="O58" s="292"/>
      <c r="P58" s="292"/>
      <c r="Q58" s="292"/>
      <c r="R58" s="292"/>
      <c r="S58" s="292"/>
      <c r="T58" s="292"/>
      <c r="U58" s="11"/>
      <c r="V58" s="5"/>
      <c r="W58" s="5"/>
      <c r="X58" s="5"/>
      <c r="Y58" s="5"/>
      <c r="Z58" s="5"/>
    </row>
    <row r="59" spans="1:26" ht="27" customHeight="1" thickBot="1">
      <c r="A59" s="292"/>
      <c r="B59" s="16">
        <v>5</v>
      </c>
      <c r="C59" s="17" t="s">
        <v>423</v>
      </c>
      <c r="D59" s="17" t="s">
        <v>424</v>
      </c>
      <c r="E59" s="294"/>
      <c r="F59" s="294"/>
      <c r="G59" s="294"/>
      <c r="H59" s="294"/>
      <c r="I59" s="294"/>
      <c r="J59" s="295"/>
      <c r="K59" s="296"/>
      <c r="L59" s="292"/>
      <c r="M59" s="292"/>
      <c r="N59" s="292"/>
      <c r="O59" s="292"/>
      <c r="P59" s="292"/>
      <c r="Q59" s="292"/>
      <c r="R59" s="292"/>
      <c r="S59" s="292"/>
      <c r="T59" s="292"/>
      <c r="U59" s="11"/>
      <c r="V59" s="5"/>
      <c r="W59" s="5"/>
      <c r="X59" s="5"/>
      <c r="Y59" s="5"/>
      <c r="Z59" s="5"/>
    </row>
    <row r="60" spans="1:26" ht="27" customHeight="1" thickBot="1">
      <c r="A60" s="292"/>
      <c r="B60" s="16">
        <v>4</v>
      </c>
      <c r="C60" s="17" t="s">
        <v>426</v>
      </c>
      <c r="D60" s="17" t="s">
        <v>427</v>
      </c>
      <c r="E60" s="294"/>
      <c r="F60" s="294"/>
      <c r="G60" s="294"/>
      <c r="H60" s="294"/>
      <c r="I60" s="294"/>
      <c r="J60" s="295"/>
      <c r="K60" s="296"/>
      <c r="L60" s="292"/>
      <c r="M60" s="292"/>
      <c r="N60" s="292"/>
      <c r="O60" s="292"/>
      <c r="P60" s="292"/>
      <c r="Q60" s="292"/>
      <c r="R60" s="292"/>
      <c r="S60" s="292"/>
      <c r="T60" s="292"/>
      <c r="U60" s="11"/>
      <c r="V60" s="5"/>
      <c r="W60" s="5"/>
      <c r="X60" s="5"/>
      <c r="Y60" s="5"/>
      <c r="Z60" s="5"/>
    </row>
    <row r="61" spans="1:26" ht="27" customHeight="1" thickBot="1">
      <c r="A61" s="292"/>
      <c r="B61" s="16">
        <v>3</v>
      </c>
      <c r="C61" s="17" t="s">
        <v>429</v>
      </c>
      <c r="D61" s="17" t="s">
        <v>430</v>
      </c>
      <c r="E61" s="294"/>
      <c r="F61" s="294"/>
      <c r="G61" s="294"/>
      <c r="H61" s="294"/>
      <c r="I61" s="294"/>
      <c r="J61" s="295"/>
      <c r="K61" s="296"/>
      <c r="L61" s="292"/>
      <c r="M61" s="292"/>
      <c r="N61" s="292"/>
      <c r="O61" s="292"/>
      <c r="P61" s="292"/>
      <c r="Q61" s="292"/>
      <c r="R61" s="292"/>
      <c r="S61" s="292"/>
      <c r="T61" s="292"/>
      <c r="U61" s="11"/>
      <c r="V61" s="5"/>
      <c r="W61" s="5"/>
      <c r="X61" s="5"/>
      <c r="Y61" s="5"/>
      <c r="Z61" s="5"/>
    </row>
    <row r="62" spans="1:26" ht="27" customHeight="1" thickBot="1">
      <c r="A62" s="292"/>
      <c r="B62" s="16">
        <v>2</v>
      </c>
      <c r="C62" s="17" t="s">
        <v>432</v>
      </c>
      <c r="D62" s="17" t="s">
        <v>433</v>
      </c>
      <c r="E62" s="294"/>
      <c r="F62" s="294"/>
      <c r="G62" s="294"/>
      <c r="H62" s="294"/>
      <c r="I62" s="294"/>
      <c r="J62" s="295"/>
      <c r="K62" s="296"/>
      <c r="L62" s="292"/>
      <c r="M62" s="292"/>
      <c r="N62" s="292"/>
      <c r="O62" s="292"/>
      <c r="P62" s="292"/>
      <c r="Q62" s="292"/>
      <c r="R62" s="292"/>
      <c r="S62" s="292"/>
      <c r="T62" s="292"/>
      <c r="U62" s="11"/>
      <c r="V62" s="5"/>
      <c r="W62" s="5"/>
      <c r="X62" s="5"/>
      <c r="Y62" s="5"/>
      <c r="Z62" s="5"/>
    </row>
    <row r="63" spans="1:26" ht="27" customHeight="1" thickBot="1">
      <c r="A63" s="292"/>
      <c r="B63" s="16">
        <v>1</v>
      </c>
      <c r="C63" s="17" t="s">
        <v>435</v>
      </c>
      <c r="D63" s="17" t="s">
        <v>436</v>
      </c>
      <c r="E63" s="294"/>
      <c r="F63" s="294"/>
      <c r="G63" s="294"/>
      <c r="H63" s="294"/>
      <c r="I63" s="294"/>
      <c r="J63" s="295"/>
      <c r="K63" s="296"/>
      <c r="L63" s="292"/>
      <c r="M63" s="292"/>
      <c r="N63" s="292"/>
      <c r="O63" s="292"/>
      <c r="P63" s="292"/>
      <c r="Q63" s="292"/>
      <c r="R63" s="292"/>
      <c r="S63" s="292"/>
      <c r="T63" s="292"/>
      <c r="U63" s="11"/>
      <c r="V63" s="5"/>
      <c r="W63" s="5"/>
      <c r="X63" s="5"/>
      <c r="Y63" s="5"/>
      <c r="Z63" s="5"/>
    </row>
    <row r="64" spans="1:26" ht="27" customHeight="1">
      <c r="A64" s="292"/>
      <c r="B64" s="293"/>
      <c r="C64" s="294"/>
      <c r="D64" s="294"/>
      <c r="E64" s="294"/>
      <c r="F64" s="294"/>
      <c r="G64" s="294"/>
      <c r="H64" s="294"/>
      <c r="I64" s="294"/>
      <c r="J64" s="295"/>
      <c r="K64" s="296"/>
      <c r="L64" s="292"/>
      <c r="M64" s="292"/>
      <c r="N64" s="292"/>
      <c r="O64" s="292"/>
      <c r="P64" s="292"/>
      <c r="Q64" s="292"/>
      <c r="R64" s="292"/>
      <c r="S64" s="292"/>
      <c r="T64" s="292"/>
      <c r="U64" s="11"/>
      <c r="V64" s="5"/>
      <c r="W64" s="5"/>
      <c r="X64" s="5"/>
      <c r="Y64" s="5"/>
      <c r="Z64" s="5"/>
    </row>
    <row r="65" spans="1:26" ht="15" customHeight="1">
      <c r="A65" s="7"/>
      <c r="B65" s="2"/>
      <c r="C65" s="10"/>
      <c r="D65" s="22"/>
      <c r="E65" s="3"/>
      <c r="F65" s="3"/>
      <c r="G65" s="21"/>
      <c r="H65" s="21"/>
      <c r="I65" s="4"/>
      <c r="J65" s="4"/>
      <c r="K65" s="8"/>
      <c r="L65" s="7"/>
      <c r="M65" s="7"/>
      <c r="N65" s="7"/>
      <c r="O65" s="7"/>
      <c r="P65" s="7"/>
      <c r="Q65" s="7"/>
      <c r="R65" s="7"/>
      <c r="S65" s="7"/>
      <c r="T65" s="7"/>
      <c r="U65" s="5"/>
      <c r="V65" s="5"/>
      <c r="W65" s="5"/>
      <c r="X65" s="5"/>
      <c r="Y65" s="5"/>
      <c r="Z65" s="5"/>
    </row>
    <row r="66" spans="1:26" ht="43.5" customHeight="1">
      <c r="A66" s="7"/>
      <c r="B66" s="23"/>
      <c r="C66" s="714"/>
      <c r="D66" s="527"/>
      <c r="E66" s="500"/>
      <c r="F66" s="213"/>
      <c r="G66" s="561" t="s">
        <v>576</v>
      </c>
      <c r="H66" s="527"/>
      <c r="I66" s="500"/>
      <c r="J66" s="290"/>
      <c r="K66" s="8"/>
      <c r="L66" s="7"/>
      <c r="M66" s="7"/>
      <c r="N66" s="7"/>
      <c r="O66" s="7"/>
      <c r="P66" s="7"/>
      <c r="Q66" s="7"/>
      <c r="R66" s="7"/>
      <c r="S66" s="7"/>
      <c r="T66" s="7"/>
      <c r="U66" s="5"/>
      <c r="V66" s="5"/>
      <c r="W66" s="5"/>
      <c r="X66" s="5"/>
      <c r="Y66" s="5"/>
      <c r="Z66" s="5"/>
    </row>
    <row r="67" spans="1:26" ht="15" customHeight="1">
      <c r="A67" s="7"/>
      <c r="B67" s="23"/>
      <c r="C67" s="502"/>
      <c r="D67" s="528"/>
      <c r="E67" s="503"/>
      <c r="F67" s="213"/>
      <c r="G67" s="502"/>
      <c r="H67" s="528"/>
      <c r="I67" s="503"/>
      <c r="J67" s="290"/>
      <c r="K67" s="8"/>
      <c r="L67" s="7"/>
      <c r="M67" s="7"/>
      <c r="N67" s="7"/>
      <c r="O67" s="7"/>
      <c r="P67" s="7"/>
      <c r="Q67" s="7"/>
      <c r="R67" s="7"/>
      <c r="S67" s="7"/>
      <c r="T67" s="7"/>
      <c r="U67" s="5"/>
      <c r="V67" s="5"/>
      <c r="W67" s="5"/>
      <c r="X67" s="5"/>
      <c r="Y67" s="5"/>
      <c r="Z67" s="5"/>
    </row>
    <row r="68" spans="1:26" ht="18" customHeight="1">
      <c r="A68" s="7"/>
      <c r="B68" s="23"/>
      <c r="C68" s="529" t="s">
        <v>407</v>
      </c>
      <c r="D68" s="437"/>
      <c r="E68" s="438"/>
      <c r="F68" s="213"/>
      <c r="G68" s="567" t="s">
        <v>408</v>
      </c>
      <c r="H68" s="437"/>
      <c r="I68" s="438"/>
      <c r="J68" s="290"/>
      <c r="K68" s="8"/>
      <c r="L68" s="7"/>
      <c r="M68" s="7"/>
      <c r="N68" s="7"/>
      <c r="O68" s="7"/>
      <c r="P68" s="7"/>
      <c r="Q68" s="7"/>
      <c r="R68" s="7"/>
      <c r="S68" s="7"/>
      <c r="T68" s="7"/>
      <c r="U68" s="5"/>
      <c r="V68" s="5"/>
      <c r="W68" s="5"/>
      <c r="X68" s="5"/>
      <c r="Y68" s="5"/>
      <c r="Z68" s="5"/>
    </row>
    <row r="69" spans="1:26" ht="16.5" customHeight="1">
      <c r="A69" s="7"/>
      <c r="B69" s="23"/>
      <c r="C69" s="211"/>
      <c r="D69" s="211"/>
      <c r="E69" s="212"/>
      <c r="F69" s="212"/>
      <c r="G69" s="715"/>
      <c r="H69" s="456"/>
      <c r="I69" s="456"/>
      <c r="J69" s="456"/>
      <c r="K69" s="8"/>
      <c r="L69" s="7"/>
      <c r="M69" s="7"/>
      <c r="N69" s="7"/>
      <c r="O69" s="7"/>
      <c r="P69" s="7"/>
      <c r="Q69" s="7"/>
      <c r="R69" s="7"/>
      <c r="S69" s="7"/>
      <c r="T69" s="7"/>
      <c r="U69" s="5"/>
      <c r="V69" s="5"/>
      <c r="W69" s="5"/>
      <c r="X69" s="5"/>
      <c r="Y69" s="5"/>
      <c r="Z69" s="5"/>
    </row>
    <row r="70" spans="1:26" ht="13.5" customHeight="1">
      <c r="A70" s="7"/>
      <c r="B70" s="23"/>
      <c r="C70" s="211"/>
      <c r="D70" s="209"/>
      <c r="E70" s="212"/>
      <c r="F70" s="212"/>
      <c r="G70" s="713"/>
      <c r="H70" s="456"/>
      <c r="I70" s="456"/>
      <c r="J70" s="456"/>
      <c r="K70" s="8"/>
      <c r="L70" s="7"/>
      <c r="M70" s="7"/>
      <c r="N70" s="7"/>
      <c r="O70" s="7"/>
      <c r="P70" s="7"/>
      <c r="Q70" s="7"/>
      <c r="R70" s="7"/>
      <c r="S70" s="7"/>
      <c r="T70" s="7"/>
      <c r="U70" s="5"/>
      <c r="V70" s="5"/>
      <c r="W70" s="5"/>
      <c r="X70" s="5"/>
      <c r="Y70" s="5"/>
      <c r="Z70" s="5"/>
    </row>
    <row r="71" spans="1:26" ht="6.75" hidden="1" customHeight="1">
      <c r="A71" s="7"/>
      <c r="B71" s="23"/>
      <c r="C71" s="291"/>
      <c r="D71" s="209"/>
      <c r="E71" s="215"/>
      <c r="F71" s="215"/>
      <c r="G71" s="209"/>
      <c r="H71" s="209"/>
      <c r="I71" s="209"/>
      <c r="J71" s="209"/>
      <c r="K71" s="8"/>
      <c r="L71" s="7"/>
      <c r="M71" s="7"/>
      <c r="N71" s="7"/>
      <c r="O71" s="7"/>
      <c r="P71" s="7"/>
      <c r="Q71" s="7"/>
      <c r="R71" s="7"/>
      <c r="S71" s="7"/>
      <c r="T71" s="7"/>
      <c r="U71" s="5"/>
      <c r="V71" s="5"/>
      <c r="W71" s="5"/>
      <c r="X71" s="5"/>
      <c r="Y71" s="5"/>
      <c r="Z71" s="5"/>
    </row>
    <row r="72" spans="1:26" ht="12.75" hidden="1" customHeight="1">
      <c r="A72" s="7"/>
      <c r="B72" s="23"/>
      <c r="C72" s="291"/>
      <c r="D72" s="209"/>
      <c r="E72" s="215"/>
      <c r="F72" s="215"/>
      <c r="G72" s="209"/>
      <c r="H72" s="209"/>
      <c r="I72" s="209"/>
      <c r="J72" s="209"/>
      <c r="K72" s="8"/>
      <c r="L72" s="7"/>
      <c r="M72" s="7"/>
      <c r="N72" s="7"/>
      <c r="O72" s="7"/>
      <c r="P72" s="7"/>
      <c r="Q72" s="7"/>
      <c r="R72" s="7"/>
      <c r="S72" s="7"/>
      <c r="T72" s="7"/>
      <c r="U72" s="5"/>
      <c r="V72" s="5"/>
      <c r="W72" s="5"/>
      <c r="X72" s="5"/>
      <c r="Y72" s="5"/>
      <c r="Z72" s="5"/>
    </row>
    <row r="73" spans="1:26" ht="33.75" customHeight="1">
      <c r="A73" s="7"/>
      <c r="B73" s="23"/>
      <c r="C73" s="291"/>
      <c r="D73" s="561" t="s">
        <v>575</v>
      </c>
      <c r="E73" s="527"/>
      <c r="F73" s="527"/>
      <c r="G73" s="500"/>
      <c r="H73" s="209"/>
      <c r="I73" s="209"/>
      <c r="J73" s="209"/>
      <c r="K73" s="8"/>
      <c r="L73" s="7"/>
      <c r="M73" s="7"/>
      <c r="N73" s="7"/>
      <c r="O73" s="7"/>
      <c r="P73" s="7"/>
      <c r="Q73" s="7"/>
      <c r="R73" s="7"/>
      <c r="S73" s="7"/>
      <c r="T73" s="7"/>
      <c r="U73" s="5"/>
      <c r="V73" s="5"/>
      <c r="W73" s="5"/>
      <c r="X73" s="5"/>
      <c r="Y73" s="5"/>
      <c r="Z73" s="5"/>
    </row>
    <row r="74" spans="1:26" ht="13.5" customHeight="1">
      <c r="A74" s="7"/>
      <c r="B74" s="23"/>
      <c r="C74" s="291"/>
      <c r="D74" s="502"/>
      <c r="E74" s="528"/>
      <c r="F74" s="528"/>
      <c r="G74" s="503"/>
      <c r="H74" s="209"/>
      <c r="I74" s="209"/>
      <c r="J74" s="209"/>
      <c r="K74" s="8"/>
      <c r="L74" s="7"/>
      <c r="M74" s="7"/>
      <c r="N74" s="7"/>
      <c r="O74" s="7"/>
      <c r="P74" s="7"/>
      <c r="Q74" s="7"/>
      <c r="R74" s="7"/>
      <c r="S74" s="7"/>
      <c r="T74" s="7"/>
      <c r="U74" s="5"/>
      <c r="V74" s="5"/>
      <c r="W74" s="5"/>
      <c r="X74" s="5"/>
      <c r="Y74" s="5"/>
      <c r="Z74" s="5"/>
    </row>
    <row r="75" spans="1:26" ht="21.75" customHeight="1">
      <c r="A75" s="7"/>
      <c r="B75" s="23"/>
      <c r="C75" s="291"/>
      <c r="D75" s="567" t="s">
        <v>409</v>
      </c>
      <c r="E75" s="437"/>
      <c r="F75" s="437"/>
      <c r="G75" s="438"/>
      <c r="H75" s="209"/>
      <c r="I75" s="209"/>
      <c r="J75" s="209"/>
      <c r="K75" s="8"/>
      <c r="L75" s="7"/>
      <c r="M75" s="7"/>
      <c r="N75" s="7"/>
      <c r="O75" s="7"/>
      <c r="P75" s="7"/>
      <c r="Q75" s="7"/>
      <c r="R75" s="7"/>
      <c r="S75" s="7"/>
      <c r="T75" s="7"/>
      <c r="U75" s="5"/>
      <c r="V75" s="5"/>
      <c r="W75" s="5"/>
      <c r="X75" s="5"/>
      <c r="Y75" s="5"/>
      <c r="Z75" s="5"/>
    </row>
    <row r="76" spans="1:26" ht="13.5" customHeight="1">
      <c r="A76" s="7"/>
      <c r="B76" s="23"/>
      <c r="C76" s="24"/>
      <c r="D76" s="23"/>
      <c r="E76" s="25"/>
      <c r="F76" s="25"/>
      <c r="G76" s="23"/>
      <c r="H76" s="23"/>
      <c r="I76" s="23"/>
      <c r="J76" s="23"/>
      <c r="K76" s="8"/>
      <c r="L76" s="7"/>
      <c r="M76" s="7"/>
      <c r="N76" s="7"/>
      <c r="O76" s="7"/>
      <c r="P76" s="7"/>
      <c r="Q76" s="7"/>
      <c r="R76" s="7"/>
      <c r="S76" s="7"/>
      <c r="T76" s="7"/>
      <c r="U76" s="5"/>
      <c r="V76" s="5"/>
      <c r="W76" s="5"/>
      <c r="X76" s="5"/>
      <c r="Y76" s="5"/>
      <c r="Z76" s="5"/>
    </row>
    <row r="77" spans="1:26" ht="13.5" customHeight="1">
      <c r="A77" s="7"/>
      <c r="B77" s="23"/>
      <c r="C77" s="24"/>
      <c r="D77" s="23"/>
      <c r="E77" s="25"/>
      <c r="F77" s="25"/>
      <c r="G77" s="23"/>
      <c r="H77" s="23"/>
      <c r="I77" s="23"/>
      <c r="J77" s="23"/>
      <c r="K77" s="8"/>
      <c r="L77" s="7"/>
      <c r="M77" s="7"/>
      <c r="N77" s="7"/>
      <c r="O77" s="7"/>
      <c r="P77" s="7"/>
      <c r="Q77" s="7"/>
      <c r="R77" s="7"/>
      <c r="S77" s="7"/>
      <c r="T77" s="7"/>
      <c r="U77" s="5"/>
      <c r="V77" s="5"/>
      <c r="W77" s="5"/>
      <c r="X77" s="5"/>
      <c r="Y77" s="5"/>
      <c r="Z77" s="5"/>
    </row>
    <row r="78" spans="1:26" ht="13.5" customHeight="1">
      <c r="A78" s="7"/>
      <c r="B78" s="23"/>
      <c r="C78" s="24"/>
      <c r="D78" s="23"/>
      <c r="E78" s="25"/>
      <c r="F78" s="25"/>
      <c r="G78" s="23"/>
      <c r="H78" s="23"/>
      <c r="I78" s="23"/>
      <c r="J78" s="23"/>
      <c r="K78" s="8"/>
      <c r="L78" s="7"/>
      <c r="M78" s="7"/>
      <c r="N78" s="7"/>
      <c r="O78" s="7"/>
      <c r="P78" s="7"/>
      <c r="Q78" s="7"/>
      <c r="R78" s="7"/>
      <c r="S78" s="7"/>
      <c r="T78" s="7"/>
      <c r="U78" s="5"/>
      <c r="V78" s="5"/>
      <c r="W78" s="5"/>
      <c r="X78" s="5"/>
      <c r="Y78" s="5"/>
      <c r="Z78" s="5"/>
    </row>
    <row r="79" spans="1:26" ht="13.5" customHeight="1">
      <c r="A79" s="7"/>
      <c r="B79" s="23"/>
      <c r="C79" s="24"/>
      <c r="D79" s="23"/>
      <c r="E79" s="25"/>
      <c r="F79" s="25"/>
      <c r="G79" s="23"/>
      <c r="H79" s="23"/>
      <c r="I79" s="23"/>
      <c r="J79" s="23"/>
      <c r="K79" s="8"/>
      <c r="L79" s="7"/>
      <c r="M79" s="7"/>
      <c r="N79" s="7"/>
      <c r="O79" s="7"/>
      <c r="P79" s="7"/>
      <c r="Q79" s="7"/>
      <c r="R79" s="7"/>
      <c r="S79" s="7"/>
      <c r="T79" s="7"/>
      <c r="U79" s="5"/>
      <c r="V79" s="5"/>
      <c r="W79" s="5"/>
      <c r="X79" s="5"/>
      <c r="Y79" s="5"/>
      <c r="Z79" s="5"/>
    </row>
    <row r="80" spans="1:26" ht="13.5" customHeight="1">
      <c r="A80" s="7"/>
      <c r="B80" s="23"/>
      <c r="C80" s="24"/>
      <c r="D80" s="23"/>
      <c r="E80" s="25"/>
      <c r="F80" s="25"/>
      <c r="G80" s="23"/>
      <c r="H80" s="23"/>
      <c r="I80" s="23"/>
      <c r="J80" s="23"/>
      <c r="K80" s="8"/>
      <c r="L80" s="7"/>
      <c r="M80" s="7"/>
      <c r="N80" s="7"/>
      <c r="O80" s="7"/>
      <c r="P80" s="7"/>
      <c r="Q80" s="7"/>
      <c r="R80" s="7"/>
      <c r="S80" s="7"/>
      <c r="T80" s="7"/>
      <c r="U80" s="5"/>
      <c r="V80" s="5"/>
      <c r="W80" s="5"/>
      <c r="X80" s="5"/>
      <c r="Y80" s="5"/>
      <c r="Z80" s="5"/>
    </row>
    <row r="81" spans="1:26" ht="13.5" customHeight="1">
      <c r="A81" s="7"/>
      <c r="B81" s="23"/>
      <c r="C81" s="24"/>
      <c r="D81" s="23"/>
      <c r="E81" s="25"/>
      <c r="F81" s="25"/>
      <c r="G81" s="23"/>
      <c r="H81" s="23"/>
      <c r="I81" s="23"/>
      <c r="J81" s="23"/>
      <c r="K81" s="8"/>
      <c r="L81" s="7"/>
      <c r="M81" s="7"/>
      <c r="N81" s="7"/>
      <c r="O81" s="7"/>
      <c r="P81" s="7"/>
      <c r="Q81" s="7"/>
      <c r="R81" s="7"/>
      <c r="S81" s="7"/>
      <c r="T81" s="7"/>
      <c r="U81" s="5"/>
      <c r="V81" s="5"/>
      <c r="W81" s="5"/>
      <c r="X81" s="5"/>
      <c r="Y81" s="5"/>
      <c r="Z81" s="5"/>
    </row>
    <row r="82" spans="1:26" ht="13.5" customHeight="1">
      <c r="A82" s="7"/>
      <c r="B82" s="23"/>
      <c r="C82" s="24"/>
      <c r="D82" s="23"/>
      <c r="E82" s="25"/>
      <c r="F82" s="25"/>
      <c r="G82" s="23"/>
      <c r="H82" s="23"/>
      <c r="I82" s="23"/>
      <c r="J82" s="23"/>
      <c r="K82" s="8"/>
      <c r="L82" s="7"/>
      <c r="M82" s="7"/>
      <c r="N82" s="7"/>
      <c r="O82" s="7"/>
      <c r="P82" s="7"/>
      <c r="Q82" s="7"/>
      <c r="R82" s="7"/>
      <c r="S82" s="7"/>
      <c r="T82" s="7"/>
      <c r="U82" s="5"/>
      <c r="V82" s="5"/>
      <c r="W82" s="5"/>
      <c r="X82" s="5"/>
      <c r="Y82" s="5"/>
      <c r="Z82" s="5"/>
    </row>
    <row r="83" spans="1:26" ht="13.5" customHeight="1">
      <c r="A83" s="7"/>
      <c r="B83" s="23"/>
      <c r="C83" s="24"/>
      <c r="D83" s="23"/>
      <c r="E83" s="25"/>
      <c r="F83" s="25"/>
      <c r="G83" s="23"/>
      <c r="H83" s="23"/>
      <c r="I83" s="23"/>
      <c r="J83" s="23"/>
      <c r="K83" s="8"/>
      <c r="L83" s="7"/>
      <c r="M83" s="7"/>
      <c r="N83" s="7"/>
      <c r="O83" s="7"/>
      <c r="P83" s="7"/>
      <c r="Q83" s="7"/>
      <c r="R83" s="7"/>
      <c r="S83" s="7"/>
      <c r="T83" s="7"/>
      <c r="U83" s="5"/>
      <c r="V83" s="5"/>
      <c r="W83" s="5"/>
      <c r="X83" s="5"/>
      <c r="Y83" s="5"/>
      <c r="Z83" s="5"/>
    </row>
    <row r="84" spans="1:26" ht="13.5" customHeight="1">
      <c r="A84" s="7"/>
      <c r="B84" s="23"/>
      <c r="C84" s="24"/>
      <c r="D84" s="23"/>
      <c r="E84" s="25"/>
      <c r="F84" s="25"/>
      <c r="G84" s="23"/>
      <c r="H84" s="23"/>
      <c r="I84" s="23"/>
      <c r="J84" s="23"/>
      <c r="K84" s="8"/>
      <c r="L84" s="7"/>
      <c r="M84" s="7"/>
      <c r="N84" s="7"/>
      <c r="O84" s="7"/>
      <c r="P84" s="7"/>
      <c r="Q84" s="7"/>
      <c r="R84" s="7"/>
      <c r="S84" s="7"/>
      <c r="T84" s="7"/>
      <c r="U84" s="5"/>
      <c r="V84" s="5"/>
      <c r="W84" s="5"/>
      <c r="X84" s="5"/>
      <c r="Y84" s="5"/>
      <c r="Z84" s="5"/>
    </row>
    <row r="85" spans="1:26" ht="13.5" customHeight="1">
      <c r="A85" s="7"/>
      <c r="B85" s="23"/>
      <c r="C85" s="24"/>
      <c r="D85" s="23"/>
      <c r="E85" s="25"/>
      <c r="F85" s="25"/>
      <c r="G85" s="23"/>
      <c r="H85" s="23"/>
      <c r="I85" s="23"/>
      <c r="J85" s="23"/>
      <c r="K85" s="8"/>
      <c r="L85" s="7"/>
      <c r="M85" s="7"/>
      <c r="N85" s="7"/>
      <c r="O85" s="7"/>
      <c r="P85" s="7"/>
      <c r="Q85" s="7"/>
      <c r="R85" s="7"/>
      <c r="S85" s="7"/>
      <c r="T85" s="7"/>
      <c r="U85" s="5"/>
      <c r="V85" s="5"/>
      <c r="W85" s="5"/>
      <c r="X85" s="5"/>
      <c r="Y85" s="5"/>
      <c r="Z85" s="5"/>
    </row>
    <row r="86" spans="1:26" ht="13.5" customHeight="1">
      <c r="A86" s="7"/>
      <c r="B86" s="23"/>
      <c r="C86" s="24"/>
      <c r="D86" s="23"/>
      <c r="E86" s="25"/>
      <c r="F86" s="25"/>
      <c r="G86" s="23"/>
      <c r="H86" s="23"/>
      <c r="I86" s="23"/>
      <c r="J86" s="23"/>
      <c r="K86" s="8"/>
      <c r="L86" s="7"/>
      <c r="M86" s="7"/>
      <c r="N86" s="7"/>
      <c r="O86" s="7"/>
      <c r="P86" s="7"/>
      <c r="Q86" s="7"/>
      <c r="R86" s="7"/>
      <c r="S86" s="7"/>
      <c r="T86" s="7"/>
      <c r="U86" s="5"/>
      <c r="V86" s="5"/>
      <c r="W86" s="5"/>
      <c r="X86" s="5"/>
      <c r="Y86" s="5"/>
      <c r="Z86" s="5"/>
    </row>
    <row r="87" spans="1:26" ht="13.5" customHeight="1">
      <c r="A87" s="7"/>
      <c r="B87" s="23"/>
      <c r="C87" s="24"/>
      <c r="D87" s="23"/>
      <c r="E87" s="25"/>
      <c r="F87" s="25"/>
      <c r="G87" s="23"/>
      <c r="H87" s="23"/>
      <c r="I87" s="23"/>
      <c r="J87" s="23"/>
      <c r="K87" s="8"/>
      <c r="L87" s="7"/>
      <c r="M87" s="7"/>
      <c r="N87" s="7"/>
      <c r="O87" s="7"/>
      <c r="P87" s="7"/>
      <c r="Q87" s="7"/>
      <c r="R87" s="7"/>
      <c r="S87" s="7"/>
      <c r="T87" s="7"/>
      <c r="U87" s="5"/>
      <c r="V87" s="5"/>
      <c r="W87" s="5"/>
      <c r="X87" s="5"/>
      <c r="Y87" s="5"/>
      <c r="Z87" s="5"/>
    </row>
    <row r="88" spans="1:26" ht="13.5" customHeight="1">
      <c r="A88" s="7"/>
      <c r="B88" s="23"/>
      <c r="C88" s="24"/>
      <c r="D88" s="23"/>
      <c r="E88" s="25"/>
      <c r="F88" s="25"/>
      <c r="G88" s="23"/>
      <c r="H88" s="23"/>
      <c r="I88" s="23"/>
      <c r="J88" s="23"/>
      <c r="K88" s="8"/>
      <c r="L88" s="7"/>
      <c r="M88" s="7"/>
      <c r="N88" s="7"/>
      <c r="O88" s="7"/>
      <c r="P88" s="7"/>
      <c r="Q88" s="7"/>
      <c r="R88" s="7"/>
      <c r="S88" s="7"/>
      <c r="T88" s="7"/>
      <c r="U88" s="5"/>
      <c r="V88" s="5"/>
      <c r="W88" s="5"/>
      <c r="X88" s="5"/>
      <c r="Y88" s="5"/>
      <c r="Z88" s="5"/>
    </row>
    <row r="89" spans="1:26" ht="13.5" customHeight="1">
      <c r="A89" s="7"/>
      <c r="B89" s="23"/>
      <c r="C89" s="24"/>
      <c r="D89" s="23"/>
      <c r="E89" s="25"/>
      <c r="F89" s="25"/>
      <c r="G89" s="23"/>
      <c r="H89" s="23"/>
      <c r="I89" s="23"/>
      <c r="J89" s="23"/>
      <c r="K89" s="8"/>
      <c r="L89" s="7"/>
      <c r="M89" s="7"/>
      <c r="N89" s="7"/>
      <c r="O89" s="7"/>
      <c r="P89" s="7"/>
      <c r="Q89" s="7"/>
      <c r="R89" s="7"/>
      <c r="S89" s="7"/>
      <c r="T89" s="7"/>
      <c r="U89" s="5"/>
      <c r="V89" s="5"/>
      <c r="W89" s="5"/>
      <c r="X89" s="5"/>
      <c r="Y89" s="5"/>
      <c r="Z89" s="5"/>
    </row>
    <row r="90" spans="1:26" ht="13.5" customHeight="1">
      <c r="A90" s="7"/>
      <c r="B90" s="23"/>
      <c r="C90" s="24"/>
      <c r="D90" s="23"/>
      <c r="E90" s="25"/>
      <c r="F90" s="25"/>
      <c r="G90" s="23"/>
      <c r="H90" s="23"/>
      <c r="I90" s="23"/>
      <c r="J90" s="23"/>
      <c r="K90" s="8"/>
      <c r="L90" s="7"/>
      <c r="M90" s="7"/>
      <c r="N90" s="7"/>
      <c r="O90" s="7"/>
      <c r="P90" s="7"/>
      <c r="Q90" s="7"/>
      <c r="R90" s="7"/>
      <c r="S90" s="7"/>
      <c r="T90" s="7"/>
      <c r="U90" s="5"/>
      <c r="V90" s="5"/>
      <c r="W90" s="5"/>
      <c r="X90" s="5"/>
      <c r="Y90" s="5"/>
      <c r="Z90" s="5"/>
    </row>
    <row r="91" spans="1:26" ht="13.5" customHeight="1">
      <c r="A91" s="7"/>
      <c r="B91" s="23"/>
      <c r="C91" s="24"/>
      <c r="D91" s="23"/>
      <c r="E91" s="25"/>
      <c r="F91" s="25"/>
      <c r="G91" s="23"/>
      <c r="H91" s="23"/>
      <c r="I91" s="23"/>
      <c r="J91" s="23"/>
      <c r="K91" s="8"/>
      <c r="L91" s="7"/>
      <c r="M91" s="7"/>
      <c r="N91" s="7"/>
      <c r="O91" s="7"/>
      <c r="P91" s="7"/>
      <c r="Q91" s="7"/>
      <c r="R91" s="7"/>
      <c r="S91" s="7"/>
      <c r="T91" s="7"/>
      <c r="U91" s="5"/>
      <c r="V91" s="5"/>
      <c r="W91" s="5"/>
      <c r="X91" s="5"/>
      <c r="Y91" s="5"/>
      <c r="Z91" s="5"/>
    </row>
    <row r="92" spans="1:26" ht="13.5" customHeight="1">
      <c r="A92" s="7"/>
      <c r="B92" s="23"/>
      <c r="C92" s="24"/>
      <c r="D92" s="23"/>
      <c r="E92" s="25"/>
      <c r="F92" s="25"/>
      <c r="G92" s="23"/>
      <c r="H92" s="23"/>
      <c r="I92" s="23"/>
      <c r="J92" s="23"/>
      <c r="K92" s="8"/>
      <c r="L92" s="7"/>
      <c r="M92" s="7"/>
      <c r="N92" s="7"/>
      <c r="O92" s="7"/>
      <c r="P92" s="7"/>
      <c r="Q92" s="7"/>
      <c r="R92" s="7"/>
      <c r="S92" s="7"/>
      <c r="T92" s="7"/>
      <c r="U92" s="5"/>
      <c r="V92" s="5"/>
      <c r="W92" s="5"/>
      <c r="X92" s="5"/>
      <c r="Y92" s="5"/>
      <c r="Z92" s="5"/>
    </row>
    <row r="93" spans="1:26" ht="13.5" customHeight="1">
      <c r="A93" s="7"/>
      <c r="B93" s="23"/>
      <c r="C93" s="24"/>
      <c r="D93" s="23"/>
      <c r="E93" s="25"/>
      <c r="F93" s="25"/>
      <c r="G93" s="23"/>
      <c r="H93" s="23"/>
      <c r="I93" s="23"/>
      <c r="J93" s="23"/>
      <c r="K93" s="8"/>
      <c r="L93" s="7"/>
      <c r="M93" s="7"/>
      <c r="N93" s="7"/>
      <c r="O93" s="7"/>
      <c r="P93" s="7"/>
      <c r="Q93" s="7"/>
      <c r="R93" s="7"/>
      <c r="S93" s="7"/>
      <c r="T93" s="7"/>
      <c r="U93" s="5"/>
      <c r="V93" s="5"/>
      <c r="W93" s="5"/>
      <c r="X93" s="5"/>
      <c r="Y93" s="5"/>
      <c r="Z93" s="5"/>
    </row>
    <row r="94" spans="1:26" ht="13.5" customHeight="1">
      <c r="A94" s="7"/>
      <c r="B94" s="23"/>
      <c r="C94" s="24"/>
      <c r="D94" s="23"/>
      <c r="E94" s="25"/>
      <c r="F94" s="25"/>
      <c r="G94" s="23"/>
      <c r="H94" s="23"/>
      <c r="I94" s="23"/>
      <c r="J94" s="23"/>
      <c r="K94" s="8"/>
      <c r="L94" s="7"/>
      <c r="M94" s="7"/>
      <c r="N94" s="7"/>
      <c r="O94" s="7"/>
      <c r="P94" s="7"/>
      <c r="Q94" s="7"/>
      <c r="R94" s="7"/>
      <c r="S94" s="7"/>
      <c r="T94" s="7"/>
      <c r="U94" s="5"/>
      <c r="V94" s="5"/>
      <c r="W94" s="5"/>
      <c r="X94" s="5"/>
      <c r="Y94" s="5"/>
      <c r="Z94" s="5"/>
    </row>
    <row r="95" spans="1:26" ht="13.5" customHeight="1">
      <c r="A95" s="7"/>
      <c r="B95" s="23"/>
      <c r="C95" s="24"/>
      <c r="D95" s="23"/>
      <c r="E95" s="25"/>
      <c r="F95" s="25"/>
      <c r="G95" s="23"/>
      <c r="H95" s="23"/>
      <c r="I95" s="23"/>
      <c r="J95" s="23"/>
      <c r="K95" s="8"/>
      <c r="L95" s="7"/>
      <c r="M95" s="7"/>
      <c r="N95" s="7"/>
      <c r="O95" s="7"/>
      <c r="P95" s="7"/>
      <c r="Q95" s="7"/>
      <c r="R95" s="7"/>
      <c r="S95" s="7"/>
      <c r="T95" s="7"/>
      <c r="U95" s="5"/>
      <c r="V95" s="5"/>
      <c r="W95" s="5"/>
      <c r="X95" s="5"/>
      <c r="Y95" s="5"/>
      <c r="Z95" s="5"/>
    </row>
    <row r="96" spans="1:26" ht="13.5" customHeight="1">
      <c r="A96" s="7"/>
      <c r="B96" s="23"/>
      <c r="C96" s="24"/>
      <c r="D96" s="23"/>
      <c r="E96" s="25"/>
      <c r="F96" s="25"/>
      <c r="G96" s="23"/>
      <c r="H96" s="23"/>
      <c r="I96" s="23"/>
      <c r="J96" s="23"/>
      <c r="K96" s="8"/>
      <c r="L96" s="7"/>
      <c r="M96" s="7"/>
      <c r="N96" s="7"/>
      <c r="O96" s="7"/>
      <c r="P96" s="7"/>
      <c r="Q96" s="7"/>
      <c r="R96" s="7"/>
      <c r="S96" s="7"/>
      <c r="T96" s="7"/>
      <c r="U96" s="5"/>
      <c r="V96" s="5"/>
      <c r="W96" s="5"/>
      <c r="X96" s="5"/>
      <c r="Y96" s="5"/>
      <c r="Z96" s="5"/>
    </row>
    <row r="97" spans="1:26" ht="13.5" customHeight="1">
      <c r="A97" s="7"/>
      <c r="B97" s="23"/>
      <c r="C97" s="24"/>
      <c r="D97" s="23"/>
      <c r="E97" s="25"/>
      <c r="F97" s="25"/>
      <c r="G97" s="23"/>
      <c r="H97" s="23"/>
      <c r="I97" s="23"/>
      <c r="J97" s="23"/>
      <c r="K97" s="8"/>
      <c r="L97" s="7"/>
      <c r="M97" s="7"/>
      <c r="N97" s="7"/>
      <c r="O97" s="7"/>
      <c r="P97" s="7"/>
      <c r="Q97" s="7"/>
      <c r="R97" s="7"/>
      <c r="S97" s="7"/>
      <c r="T97" s="7"/>
      <c r="U97" s="5"/>
      <c r="V97" s="5"/>
      <c r="W97" s="5"/>
      <c r="X97" s="5"/>
      <c r="Y97" s="5"/>
      <c r="Z97" s="5"/>
    </row>
    <row r="98" spans="1:26" ht="13.5" customHeight="1">
      <c r="A98" s="7"/>
      <c r="B98" s="23"/>
      <c r="C98" s="24"/>
      <c r="D98" s="23"/>
      <c r="E98" s="25"/>
      <c r="F98" s="25"/>
      <c r="G98" s="23"/>
      <c r="H98" s="23"/>
      <c r="I98" s="23"/>
      <c r="J98" s="23"/>
      <c r="K98" s="8"/>
      <c r="L98" s="7"/>
      <c r="M98" s="7"/>
      <c r="N98" s="7"/>
      <c r="O98" s="7"/>
      <c r="P98" s="7"/>
      <c r="Q98" s="7"/>
      <c r="R98" s="7"/>
      <c r="S98" s="7"/>
      <c r="T98" s="7"/>
      <c r="U98" s="5"/>
      <c r="V98" s="5"/>
      <c r="W98" s="5"/>
      <c r="X98" s="5"/>
      <c r="Y98" s="5"/>
      <c r="Z98" s="5"/>
    </row>
    <row r="99" spans="1:26" ht="13.5" customHeight="1">
      <c r="A99" s="7"/>
      <c r="B99" s="23"/>
      <c r="C99" s="24"/>
      <c r="D99" s="23"/>
      <c r="E99" s="25"/>
      <c r="F99" s="25"/>
      <c r="G99" s="23"/>
      <c r="H99" s="23"/>
      <c r="I99" s="23"/>
      <c r="J99" s="23"/>
      <c r="K99" s="8"/>
      <c r="L99" s="7"/>
      <c r="M99" s="7"/>
      <c r="N99" s="7"/>
      <c r="O99" s="7"/>
      <c r="P99" s="7"/>
      <c r="Q99" s="7"/>
      <c r="R99" s="7"/>
      <c r="S99" s="7"/>
      <c r="T99" s="7"/>
      <c r="U99" s="5"/>
      <c r="V99" s="5"/>
      <c r="W99" s="5"/>
      <c r="X99" s="5"/>
      <c r="Y99" s="5"/>
      <c r="Z99" s="5"/>
    </row>
    <row r="100" spans="1:26" ht="13.5" customHeight="1">
      <c r="A100" s="7"/>
      <c r="B100" s="23"/>
      <c r="C100" s="24"/>
      <c r="D100" s="23"/>
      <c r="E100" s="25"/>
      <c r="F100" s="25"/>
      <c r="G100" s="23"/>
      <c r="H100" s="23"/>
      <c r="I100" s="23"/>
      <c r="J100" s="23"/>
      <c r="K100" s="8"/>
      <c r="L100" s="7"/>
      <c r="M100" s="7"/>
      <c r="N100" s="7"/>
      <c r="O100" s="7"/>
      <c r="P100" s="7"/>
      <c r="Q100" s="7"/>
      <c r="R100" s="7"/>
      <c r="S100" s="7"/>
      <c r="T100" s="7"/>
      <c r="U100" s="5"/>
      <c r="V100" s="5"/>
      <c r="W100" s="5"/>
      <c r="X100" s="5"/>
      <c r="Y100" s="5"/>
      <c r="Z100" s="5"/>
    </row>
    <row r="101" spans="1:26" ht="13.5" customHeight="1">
      <c r="A101" s="7"/>
      <c r="B101" s="23"/>
      <c r="C101" s="24"/>
      <c r="D101" s="23"/>
      <c r="E101" s="25"/>
      <c r="F101" s="25"/>
      <c r="G101" s="23"/>
      <c r="H101" s="23"/>
      <c r="I101" s="23"/>
      <c r="J101" s="23"/>
      <c r="K101" s="8"/>
      <c r="L101" s="7"/>
      <c r="M101" s="7"/>
      <c r="N101" s="7"/>
      <c r="O101" s="7"/>
      <c r="P101" s="7"/>
      <c r="Q101" s="7"/>
      <c r="R101" s="7"/>
      <c r="S101" s="7"/>
      <c r="T101" s="7"/>
      <c r="U101" s="5"/>
      <c r="V101" s="5"/>
      <c r="W101" s="5"/>
      <c r="X101" s="5"/>
      <c r="Y101" s="5"/>
      <c r="Z101" s="5"/>
    </row>
    <row r="102" spans="1:26" ht="13.5" customHeight="1">
      <c r="A102" s="7"/>
      <c r="B102" s="23"/>
      <c r="C102" s="24"/>
      <c r="D102" s="23"/>
      <c r="E102" s="25"/>
      <c r="F102" s="25"/>
      <c r="G102" s="23"/>
      <c r="H102" s="23"/>
      <c r="I102" s="23"/>
      <c r="J102" s="23"/>
      <c r="K102" s="8"/>
      <c r="L102" s="7"/>
      <c r="M102" s="7"/>
      <c r="N102" s="7"/>
      <c r="O102" s="7"/>
      <c r="P102" s="7"/>
      <c r="Q102" s="7"/>
      <c r="R102" s="7"/>
      <c r="S102" s="7"/>
      <c r="T102" s="7"/>
      <c r="U102" s="5"/>
      <c r="V102" s="5"/>
      <c r="W102" s="5"/>
      <c r="X102" s="5"/>
      <c r="Y102" s="5"/>
      <c r="Z102" s="5"/>
    </row>
    <row r="103" spans="1:26" ht="13.5" customHeight="1">
      <c r="A103" s="7"/>
      <c r="B103" s="23"/>
      <c r="C103" s="24"/>
      <c r="D103" s="23"/>
      <c r="E103" s="25"/>
      <c r="F103" s="25"/>
      <c r="G103" s="23"/>
      <c r="H103" s="23"/>
      <c r="I103" s="23"/>
      <c r="J103" s="23"/>
      <c r="K103" s="8"/>
      <c r="L103" s="7"/>
      <c r="M103" s="7"/>
      <c r="N103" s="7"/>
      <c r="O103" s="7"/>
      <c r="P103" s="7"/>
      <c r="Q103" s="7"/>
      <c r="R103" s="7"/>
      <c r="S103" s="7"/>
      <c r="T103" s="7"/>
      <c r="U103" s="5"/>
      <c r="V103" s="5"/>
      <c r="W103" s="5"/>
      <c r="X103" s="5"/>
      <c r="Y103" s="5"/>
      <c r="Z103" s="5"/>
    </row>
    <row r="104" spans="1:26" ht="13.5" customHeight="1">
      <c r="A104" s="7"/>
      <c r="B104" s="23"/>
      <c r="C104" s="24"/>
      <c r="D104" s="23"/>
      <c r="E104" s="25"/>
      <c r="F104" s="25"/>
      <c r="G104" s="23"/>
      <c r="H104" s="23"/>
      <c r="I104" s="23"/>
      <c r="J104" s="23"/>
      <c r="K104" s="8"/>
      <c r="L104" s="7"/>
      <c r="M104" s="7"/>
      <c r="N104" s="7"/>
      <c r="O104" s="7"/>
      <c r="P104" s="7"/>
      <c r="Q104" s="7"/>
      <c r="R104" s="7"/>
      <c r="S104" s="7"/>
      <c r="T104" s="7"/>
      <c r="U104" s="5"/>
      <c r="V104" s="5"/>
      <c r="W104" s="5"/>
      <c r="X104" s="5"/>
      <c r="Y104" s="5"/>
      <c r="Z104" s="5"/>
    </row>
    <row r="105" spans="1:26" ht="13.5" customHeight="1">
      <c r="A105" s="7"/>
      <c r="B105" s="23"/>
      <c r="C105" s="24"/>
      <c r="D105" s="23"/>
      <c r="E105" s="25"/>
      <c r="F105" s="25"/>
      <c r="G105" s="23"/>
      <c r="H105" s="23"/>
      <c r="I105" s="23"/>
      <c r="J105" s="23"/>
      <c r="K105" s="8"/>
      <c r="L105" s="7"/>
      <c r="M105" s="7"/>
      <c r="N105" s="7"/>
      <c r="O105" s="7"/>
      <c r="P105" s="7"/>
      <c r="Q105" s="7"/>
      <c r="R105" s="7"/>
      <c r="S105" s="7"/>
      <c r="T105" s="7"/>
      <c r="U105" s="5"/>
      <c r="V105" s="5"/>
      <c r="W105" s="5"/>
      <c r="X105" s="5"/>
      <c r="Y105" s="5"/>
      <c r="Z105" s="5"/>
    </row>
    <row r="106" spans="1:26" ht="13.5" customHeight="1">
      <c r="A106" s="7"/>
      <c r="B106" s="23"/>
      <c r="C106" s="24"/>
      <c r="D106" s="23"/>
      <c r="E106" s="25"/>
      <c r="F106" s="25"/>
      <c r="G106" s="23"/>
      <c r="H106" s="23"/>
      <c r="I106" s="23"/>
      <c r="J106" s="23"/>
      <c r="K106" s="8"/>
      <c r="L106" s="7"/>
      <c r="M106" s="7"/>
      <c r="N106" s="7"/>
      <c r="O106" s="7"/>
      <c r="P106" s="7"/>
      <c r="Q106" s="7"/>
      <c r="R106" s="7"/>
      <c r="S106" s="7"/>
      <c r="T106" s="7"/>
      <c r="U106" s="5"/>
      <c r="V106" s="5"/>
      <c r="W106" s="5"/>
      <c r="X106" s="5"/>
      <c r="Y106" s="5"/>
      <c r="Z106" s="5"/>
    </row>
    <row r="107" spans="1:26" ht="13.5" customHeight="1">
      <c r="A107" s="7"/>
      <c r="B107" s="23"/>
      <c r="C107" s="24"/>
      <c r="D107" s="23"/>
      <c r="E107" s="25"/>
      <c r="F107" s="25"/>
      <c r="G107" s="23"/>
      <c r="H107" s="23"/>
      <c r="I107" s="23"/>
      <c r="J107" s="23"/>
      <c r="K107" s="8"/>
      <c r="L107" s="7"/>
      <c r="M107" s="7"/>
      <c r="N107" s="7"/>
      <c r="O107" s="7"/>
      <c r="P107" s="7"/>
      <c r="Q107" s="7"/>
      <c r="R107" s="7"/>
      <c r="S107" s="7"/>
      <c r="T107" s="7"/>
      <c r="U107" s="5"/>
      <c r="V107" s="5"/>
      <c r="W107" s="5"/>
      <c r="X107" s="5"/>
      <c r="Y107" s="5"/>
      <c r="Z107" s="5"/>
    </row>
    <row r="108" spans="1:26" ht="13.5" customHeight="1">
      <c r="A108" s="7"/>
      <c r="B108" s="23"/>
      <c r="C108" s="24"/>
      <c r="D108" s="23"/>
      <c r="E108" s="25"/>
      <c r="F108" s="25"/>
      <c r="G108" s="23"/>
      <c r="H108" s="23"/>
      <c r="I108" s="23"/>
      <c r="J108" s="23"/>
      <c r="K108" s="8"/>
      <c r="L108" s="7"/>
      <c r="M108" s="7"/>
      <c r="N108" s="7"/>
      <c r="O108" s="7"/>
      <c r="P108" s="7"/>
      <c r="Q108" s="7"/>
      <c r="R108" s="7"/>
      <c r="S108" s="7"/>
      <c r="T108" s="7"/>
      <c r="U108" s="5"/>
      <c r="V108" s="5"/>
      <c r="W108" s="5"/>
      <c r="X108" s="5"/>
      <c r="Y108" s="5"/>
      <c r="Z108" s="5"/>
    </row>
    <row r="109" spans="1:26" ht="13.5" customHeight="1">
      <c r="A109" s="7"/>
      <c r="B109" s="23"/>
      <c r="C109" s="24"/>
      <c r="D109" s="23"/>
      <c r="E109" s="25"/>
      <c r="F109" s="25"/>
      <c r="G109" s="23"/>
      <c r="H109" s="23"/>
      <c r="I109" s="23"/>
      <c r="J109" s="23"/>
      <c r="K109" s="8"/>
      <c r="L109" s="7"/>
      <c r="M109" s="7"/>
      <c r="N109" s="7"/>
      <c r="O109" s="7"/>
      <c r="P109" s="7"/>
      <c r="Q109" s="7"/>
      <c r="R109" s="7"/>
      <c r="S109" s="7"/>
      <c r="T109" s="7"/>
      <c r="U109" s="5"/>
      <c r="V109" s="5"/>
      <c r="W109" s="5"/>
      <c r="X109" s="5"/>
      <c r="Y109" s="5"/>
      <c r="Z109" s="5"/>
    </row>
    <row r="110" spans="1:26" ht="13.5" customHeight="1">
      <c r="A110" s="7"/>
      <c r="B110" s="23"/>
      <c r="C110" s="24"/>
      <c r="D110" s="23"/>
      <c r="E110" s="25"/>
      <c r="F110" s="25"/>
      <c r="G110" s="23"/>
      <c r="H110" s="23"/>
      <c r="I110" s="23"/>
      <c r="J110" s="23"/>
      <c r="K110" s="8"/>
      <c r="L110" s="7"/>
      <c r="M110" s="7"/>
      <c r="N110" s="7"/>
      <c r="O110" s="7"/>
      <c r="P110" s="7"/>
      <c r="Q110" s="7"/>
      <c r="R110" s="7"/>
      <c r="S110" s="7"/>
      <c r="T110" s="7"/>
      <c r="U110" s="5"/>
      <c r="V110" s="5"/>
      <c r="W110" s="5"/>
      <c r="X110" s="5"/>
      <c r="Y110" s="5"/>
      <c r="Z110" s="5"/>
    </row>
    <row r="111" spans="1:26" ht="13.5" customHeight="1">
      <c r="A111" s="7"/>
      <c r="B111" s="23"/>
      <c r="C111" s="24"/>
      <c r="D111" s="23"/>
      <c r="E111" s="25"/>
      <c r="F111" s="25"/>
      <c r="G111" s="23"/>
      <c r="H111" s="23"/>
      <c r="I111" s="23"/>
      <c r="J111" s="23"/>
      <c r="K111" s="8"/>
      <c r="L111" s="7"/>
      <c r="M111" s="7"/>
      <c r="N111" s="7"/>
      <c r="O111" s="7"/>
      <c r="P111" s="7"/>
      <c r="Q111" s="7"/>
      <c r="R111" s="7"/>
      <c r="S111" s="7"/>
      <c r="T111" s="7"/>
      <c r="U111" s="5"/>
      <c r="V111" s="5"/>
      <c r="W111" s="5"/>
      <c r="X111" s="5"/>
      <c r="Y111" s="5"/>
      <c r="Z111" s="5"/>
    </row>
    <row r="112" spans="1:26" ht="13.5" customHeight="1">
      <c r="A112" s="7"/>
      <c r="B112" s="23"/>
      <c r="C112" s="24"/>
      <c r="D112" s="23"/>
      <c r="E112" s="25"/>
      <c r="F112" s="25"/>
      <c r="G112" s="23"/>
      <c r="H112" s="23"/>
      <c r="I112" s="23"/>
      <c r="J112" s="23"/>
      <c r="K112" s="8"/>
      <c r="L112" s="7"/>
      <c r="M112" s="7"/>
      <c r="N112" s="7"/>
      <c r="O112" s="7"/>
      <c r="P112" s="7"/>
      <c r="Q112" s="7"/>
      <c r="R112" s="7"/>
      <c r="S112" s="7"/>
      <c r="T112" s="7"/>
      <c r="U112" s="5"/>
      <c r="V112" s="5"/>
      <c r="W112" s="5"/>
      <c r="X112" s="5"/>
      <c r="Y112" s="5"/>
      <c r="Z112" s="5"/>
    </row>
    <row r="113" spans="1:26" ht="13.5" customHeight="1">
      <c r="A113" s="7"/>
      <c r="B113" s="23"/>
      <c r="C113" s="24"/>
      <c r="D113" s="23"/>
      <c r="E113" s="25"/>
      <c r="F113" s="25"/>
      <c r="G113" s="23"/>
      <c r="H113" s="23"/>
      <c r="I113" s="23"/>
      <c r="J113" s="23"/>
      <c r="K113" s="8"/>
      <c r="L113" s="7"/>
      <c r="M113" s="7"/>
      <c r="N113" s="7"/>
      <c r="O113" s="7"/>
      <c r="P113" s="7"/>
      <c r="Q113" s="7"/>
      <c r="R113" s="7"/>
      <c r="S113" s="7"/>
      <c r="T113" s="7"/>
      <c r="U113" s="5"/>
      <c r="V113" s="5"/>
      <c r="W113" s="5"/>
      <c r="X113" s="5"/>
      <c r="Y113" s="5"/>
      <c r="Z113" s="5"/>
    </row>
    <row r="114" spans="1:26" ht="13.5" customHeight="1">
      <c r="A114" s="7"/>
      <c r="B114" s="23"/>
      <c r="C114" s="24"/>
      <c r="D114" s="23"/>
      <c r="E114" s="25"/>
      <c r="F114" s="25"/>
      <c r="G114" s="23"/>
      <c r="H114" s="23"/>
      <c r="I114" s="23"/>
      <c r="J114" s="23"/>
      <c r="K114" s="8"/>
      <c r="L114" s="7"/>
      <c r="M114" s="7"/>
      <c r="N114" s="7"/>
      <c r="O114" s="7"/>
      <c r="P114" s="7"/>
      <c r="Q114" s="7"/>
      <c r="R114" s="7"/>
      <c r="S114" s="7"/>
      <c r="T114" s="7"/>
      <c r="U114" s="5"/>
      <c r="V114" s="5"/>
      <c r="W114" s="5"/>
      <c r="X114" s="5"/>
      <c r="Y114" s="5"/>
      <c r="Z114" s="5"/>
    </row>
    <row r="115" spans="1:26" ht="13.5" customHeight="1">
      <c r="A115" s="7"/>
      <c r="B115" s="23"/>
      <c r="C115" s="24"/>
      <c r="D115" s="23"/>
      <c r="E115" s="25"/>
      <c r="F115" s="25"/>
      <c r="G115" s="23"/>
      <c r="H115" s="23"/>
      <c r="I115" s="23"/>
      <c r="J115" s="23"/>
      <c r="K115" s="8"/>
      <c r="L115" s="7"/>
      <c r="M115" s="7"/>
      <c r="N115" s="7"/>
      <c r="O115" s="7"/>
      <c r="P115" s="7"/>
      <c r="Q115" s="7"/>
      <c r="R115" s="7"/>
      <c r="S115" s="7"/>
      <c r="T115" s="7"/>
      <c r="U115" s="5"/>
      <c r="V115" s="5"/>
      <c r="W115" s="5"/>
      <c r="X115" s="5"/>
      <c r="Y115" s="5"/>
      <c r="Z115" s="5"/>
    </row>
    <row r="116" spans="1:26" ht="13.5" customHeight="1">
      <c r="A116" s="7"/>
      <c r="B116" s="23"/>
      <c r="C116" s="24"/>
      <c r="D116" s="23"/>
      <c r="E116" s="25"/>
      <c r="F116" s="25"/>
      <c r="G116" s="23"/>
      <c r="H116" s="23"/>
      <c r="I116" s="23"/>
      <c r="J116" s="23"/>
      <c r="K116" s="8"/>
      <c r="L116" s="7"/>
      <c r="M116" s="7"/>
      <c r="N116" s="7"/>
      <c r="O116" s="7"/>
      <c r="P116" s="7"/>
      <c r="Q116" s="7"/>
      <c r="R116" s="7"/>
      <c r="S116" s="7"/>
      <c r="T116" s="7"/>
      <c r="U116" s="5"/>
      <c r="V116" s="5"/>
      <c r="W116" s="5"/>
      <c r="X116" s="5"/>
      <c r="Y116" s="5"/>
      <c r="Z116" s="5"/>
    </row>
    <row r="117" spans="1:26" ht="13.5" customHeight="1">
      <c r="A117" s="7"/>
      <c r="B117" s="23"/>
      <c r="C117" s="24"/>
      <c r="D117" s="23"/>
      <c r="E117" s="25"/>
      <c r="F117" s="25"/>
      <c r="G117" s="23"/>
      <c r="H117" s="23"/>
      <c r="I117" s="23"/>
      <c r="J117" s="23"/>
      <c r="K117" s="8"/>
      <c r="L117" s="7"/>
      <c r="M117" s="7"/>
      <c r="N117" s="7"/>
      <c r="O117" s="7"/>
      <c r="P117" s="7"/>
      <c r="Q117" s="7"/>
      <c r="R117" s="7"/>
      <c r="S117" s="7"/>
      <c r="T117" s="7"/>
      <c r="U117" s="5"/>
      <c r="V117" s="5"/>
      <c r="W117" s="5"/>
      <c r="X117" s="5"/>
      <c r="Y117" s="5"/>
      <c r="Z117" s="5"/>
    </row>
    <row r="118" spans="1:26" ht="13.5" customHeight="1">
      <c r="A118" s="7"/>
      <c r="B118" s="23"/>
      <c r="C118" s="24"/>
      <c r="D118" s="23"/>
      <c r="E118" s="25"/>
      <c r="F118" s="25"/>
      <c r="G118" s="23"/>
      <c r="H118" s="23"/>
      <c r="I118" s="23"/>
      <c r="J118" s="23"/>
      <c r="K118" s="8"/>
      <c r="L118" s="7"/>
      <c r="M118" s="7"/>
      <c r="N118" s="7"/>
      <c r="O118" s="7"/>
      <c r="P118" s="7"/>
      <c r="Q118" s="7"/>
      <c r="R118" s="7"/>
      <c r="S118" s="7"/>
      <c r="T118" s="7"/>
      <c r="U118" s="5"/>
      <c r="V118" s="5"/>
      <c r="W118" s="5"/>
      <c r="X118" s="5"/>
      <c r="Y118" s="5"/>
      <c r="Z118" s="5"/>
    </row>
    <row r="119" spans="1:26" ht="13.5" customHeight="1">
      <c r="A119" s="7"/>
      <c r="B119" s="23"/>
      <c r="C119" s="24"/>
      <c r="D119" s="23"/>
      <c r="E119" s="25"/>
      <c r="F119" s="25"/>
      <c r="G119" s="23"/>
      <c r="H119" s="23"/>
      <c r="I119" s="23"/>
      <c r="J119" s="23"/>
      <c r="K119" s="8"/>
      <c r="L119" s="7"/>
      <c r="M119" s="7"/>
      <c r="N119" s="7"/>
      <c r="O119" s="7"/>
      <c r="P119" s="7"/>
      <c r="Q119" s="7"/>
      <c r="R119" s="7"/>
      <c r="S119" s="7"/>
      <c r="T119" s="7"/>
      <c r="U119" s="5"/>
      <c r="V119" s="5"/>
      <c r="W119" s="5"/>
      <c r="X119" s="5"/>
      <c r="Y119" s="5"/>
      <c r="Z119" s="5"/>
    </row>
    <row r="120" spans="1:26" ht="13.5" customHeight="1">
      <c r="A120" s="7"/>
      <c r="B120" s="23"/>
      <c r="C120" s="24"/>
      <c r="D120" s="23"/>
      <c r="E120" s="25"/>
      <c r="F120" s="25"/>
      <c r="G120" s="23"/>
      <c r="H120" s="23"/>
      <c r="I120" s="23"/>
      <c r="J120" s="23"/>
      <c r="K120" s="8"/>
      <c r="L120" s="7"/>
      <c r="M120" s="7"/>
      <c r="N120" s="7"/>
      <c r="O120" s="7"/>
      <c r="P120" s="7"/>
      <c r="Q120" s="7"/>
      <c r="R120" s="7"/>
      <c r="S120" s="7"/>
      <c r="T120" s="7"/>
      <c r="U120" s="5"/>
      <c r="V120" s="5"/>
      <c r="W120" s="5"/>
      <c r="X120" s="5"/>
      <c r="Y120" s="5"/>
      <c r="Z120" s="5"/>
    </row>
    <row r="121" spans="1:26" ht="13.5" customHeight="1">
      <c r="A121" s="7"/>
      <c r="B121" s="23"/>
      <c r="C121" s="24"/>
      <c r="D121" s="23"/>
      <c r="E121" s="25"/>
      <c r="F121" s="25"/>
      <c r="G121" s="23"/>
      <c r="H121" s="23"/>
      <c r="I121" s="23"/>
      <c r="J121" s="23"/>
      <c r="K121" s="8"/>
      <c r="L121" s="7"/>
      <c r="M121" s="7"/>
      <c r="N121" s="7"/>
      <c r="O121" s="7"/>
      <c r="P121" s="7"/>
      <c r="Q121" s="7"/>
      <c r="R121" s="7"/>
      <c r="S121" s="7"/>
      <c r="T121" s="7"/>
      <c r="U121" s="5"/>
      <c r="V121" s="5"/>
      <c r="W121" s="5"/>
      <c r="X121" s="5"/>
      <c r="Y121" s="5"/>
      <c r="Z121" s="5"/>
    </row>
    <row r="122" spans="1:26" ht="13.5" customHeight="1">
      <c r="A122" s="7"/>
      <c r="B122" s="23"/>
      <c r="C122" s="24"/>
      <c r="D122" s="23"/>
      <c r="E122" s="25"/>
      <c r="F122" s="25"/>
      <c r="G122" s="23"/>
      <c r="H122" s="23"/>
      <c r="I122" s="23"/>
      <c r="J122" s="23"/>
      <c r="K122" s="8"/>
      <c r="L122" s="7"/>
      <c r="M122" s="7"/>
      <c r="N122" s="7"/>
      <c r="O122" s="7"/>
      <c r="P122" s="7"/>
      <c r="Q122" s="7"/>
      <c r="R122" s="7"/>
      <c r="S122" s="7"/>
      <c r="T122" s="7"/>
      <c r="U122" s="5"/>
      <c r="V122" s="5"/>
      <c r="W122" s="5"/>
      <c r="X122" s="5"/>
      <c r="Y122" s="5"/>
      <c r="Z122" s="5"/>
    </row>
    <row r="123" spans="1:26" ht="13.5" customHeight="1">
      <c r="A123" s="7"/>
      <c r="B123" s="23"/>
      <c r="C123" s="24"/>
      <c r="D123" s="23"/>
      <c r="E123" s="25"/>
      <c r="F123" s="25"/>
      <c r="G123" s="23"/>
      <c r="H123" s="23"/>
      <c r="I123" s="23"/>
      <c r="J123" s="23"/>
      <c r="K123" s="8"/>
      <c r="L123" s="7"/>
      <c r="M123" s="7"/>
      <c r="N123" s="7"/>
      <c r="O123" s="7"/>
      <c r="P123" s="7"/>
      <c r="Q123" s="7"/>
      <c r="R123" s="7"/>
      <c r="S123" s="7"/>
      <c r="T123" s="7"/>
      <c r="U123" s="5"/>
      <c r="V123" s="5"/>
      <c r="W123" s="5"/>
      <c r="X123" s="5"/>
      <c r="Y123" s="5"/>
      <c r="Z123" s="5"/>
    </row>
    <row r="124" spans="1:26" ht="13.5" customHeight="1">
      <c r="A124" s="7"/>
      <c r="B124" s="23"/>
      <c r="C124" s="24"/>
      <c r="D124" s="23"/>
      <c r="E124" s="25"/>
      <c r="F124" s="25"/>
      <c r="G124" s="23"/>
      <c r="H124" s="23"/>
      <c r="I124" s="23"/>
      <c r="J124" s="23"/>
      <c r="K124" s="8"/>
      <c r="L124" s="7"/>
      <c r="M124" s="7"/>
      <c r="N124" s="7"/>
      <c r="O124" s="7"/>
      <c r="P124" s="7"/>
      <c r="Q124" s="7"/>
      <c r="R124" s="7"/>
      <c r="S124" s="7"/>
      <c r="T124" s="7"/>
      <c r="U124" s="5"/>
      <c r="V124" s="5"/>
      <c r="W124" s="5"/>
      <c r="X124" s="5"/>
      <c r="Y124" s="5"/>
      <c r="Z124" s="5"/>
    </row>
    <row r="125" spans="1:26" ht="13.5" customHeight="1">
      <c r="A125" s="7"/>
      <c r="B125" s="23"/>
      <c r="C125" s="24"/>
      <c r="D125" s="23"/>
      <c r="E125" s="25"/>
      <c r="F125" s="25"/>
      <c r="G125" s="23"/>
      <c r="H125" s="23"/>
      <c r="I125" s="23"/>
      <c r="J125" s="23"/>
      <c r="K125" s="8"/>
      <c r="L125" s="7"/>
      <c r="M125" s="7"/>
      <c r="N125" s="7"/>
      <c r="O125" s="7"/>
      <c r="P125" s="7"/>
      <c r="Q125" s="7"/>
      <c r="R125" s="7"/>
      <c r="S125" s="7"/>
      <c r="T125" s="7"/>
      <c r="U125" s="5"/>
      <c r="V125" s="5"/>
      <c r="W125" s="5"/>
      <c r="X125" s="5"/>
      <c r="Y125" s="5"/>
      <c r="Z125" s="5"/>
    </row>
    <row r="126" spans="1:26" ht="13.5" customHeight="1">
      <c r="A126" s="7"/>
      <c r="B126" s="23"/>
      <c r="C126" s="24"/>
      <c r="D126" s="23"/>
      <c r="E126" s="25"/>
      <c r="F126" s="25"/>
      <c r="G126" s="23"/>
      <c r="H126" s="23"/>
      <c r="I126" s="23"/>
      <c r="J126" s="23"/>
      <c r="K126" s="8"/>
      <c r="L126" s="7"/>
      <c r="M126" s="7"/>
      <c r="N126" s="7"/>
      <c r="O126" s="7"/>
      <c r="P126" s="7"/>
      <c r="Q126" s="7"/>
      <c r="R126" s="7"/>
      <c r="S126" s="7"/>
      <c r="T126" s="7"/>
      <c r="U126" s="5"/>
      <c r="V126" s="5"/>
      <c r="W126" s="5"/>
      <c r="X126" s="5"/>
      <c r="Y126" s="5"/>
      <c r="Z126" s="5"/>
    </row>
    <row r="127" spans="1:26" ht="13.5" customHeight="1">
      <c r="A127" s="7"/>
      <c r="B127" s="23"/>
      <c r="C127" s="24"/>
      <c r="D127" s="23"/>
      <c r="E127" s="25"/>
      <c r="F127" s="25"/>
      <c r="G127" s="23"/>
      <c r="H127" s="23"/>
      <c r="I127" s="23"/>
      <c r="J127" s="23"/>
      <c r="K127" s="8"/>
      <c r="L127" s="7"/>
      <c r="M127" s="7"/>
      <c r="N127" s="7"/>
      <c r="O127" s="7"/>
      <c r="P127" s="7"/>
      <c r="Q127" s="7"/>
      <c r="R127" s="7"/>
      <c r="S127" s="7"/>
      <c r="T127" s="7"/>
      <c r="U127" s="5"/>
      <c r="V127" s="5"/>
      <c r="W127" s="5"/>
      <c r="X127" s="5"/>
      <c r="Y127" s="5"/>
      <c r="Z127" s="5"/>
    </row>
    <row r="128" spans="1:26" ht="13.5" customHeight="1">
      <c r="A128" s="7"/>
      <c r="B128" s="23"/>
      <c r="C128" s="24"/>
      <c r="D128" s="23"/>
      <c r="E128" s="25"/>
      <c r="F128" s="25"/>
      <c r="G128" s="23"/>
      <c r="H128" s="23"/>
      <c r="I128" s="23"/>
      <c r="J128" s="23"/>
      <c r="K128" s="8"/>
      <c r="L128" s="7"/>
      <c r="M128" s="7"/>
      <c r="N128" s="7"/>
      <c r="O128" s="7"/>
      <c r="P128" s="7"/>
      <c r="Q128" s="7"/>
      <c r="R128" s="7"/>
      <c r="S128" s="7"/>
      <c r="T128" s="7"/>
      <c r="U128" s="5"/>
      <c r="V128" s="5"/>
      <c r="W128" s="5"/>
      <c r="X128" s="5"/>
      <c r="Y128" s="5"/>
      <c r="Z128" s="5"/>
    </row>
    <row r="129" spans="1:26" ht="13.5" customHeight="1">
      <c r="A129" s="7"/>
      <c r="B129" s="23"/>
      <c r="C129" s="24"/>
      <c r="D129" s="23"/>
      <c r="E129" s="25"/>
      <c r="F129" s="25"/>
      <c r="G129" s="23"/>
      <c r="H129" s="23"/>
      <c r="I129" s="23"/>
      <c r="J129" s="23"/>
      <c r="K129" s="8"/>
      <c r="L129" s="7"/>
      <c r="M129" s="7"/>
      <c r="N129" s="7"/>
      <c r="O129" s="7"/>
      <c r="P129" s="7"/>
      <c r="Q129" s="7"/>
      <c r="R129" s="7"/>
      <c r="S129" s="7"/>
      <c r="T129" s="7"/>
      <c r="U129" s="5"/>
      <c r="V129" s="5"/>
      <c r="W129" s="5"/>
      <c r="X129" s="5"/>
      <c r="Y129" s="5"/>
      <c r="Z129" s="5"/>
    </row>
    <row r="130" spans="1:26" ht="13.5" customHeight="1">
      <c r="A130" s="7"/>
      <c r="B130" s="23"/>
      <c r="C130" s="24"/>
      <c r="D130" s="23"/>
      <c r="E130" s="25"/>
      <c r="F130" s="25"/>
      <c r="G130" s="23"/>
      <c r="H130" s="23"/>
      <c r="I130" s="23"/>
      <c r="J130" s="23"/>
      <c r="K130" s="8"/>
      <c r="L130" s="7"/>
      <c r="M130" s="7"/>
      <c r="N130" s="7"/>
      <c r="O130" s="7"/>
      <c r="P130" s="7"/>
      <c r="Q130" s="7"/>
      <c r="R130" s="7"/>
      <c r="S130" s="7"/>
      <c r="T130" s="7"/>
      <c r="U130" s="5"/>
      <c r="V130" s="5"/>
      <c r="W130" s="5"/>
      <c r="X130" s="5"/>
      <c r="Y130" s="5"/>
      <c r="Z130" s="5"/>
    </row>
    <row r="131" spans="1:26" ht="13.5" customHeight="1">
      <c r="A131" s="7"/>
      <c r="B131" s="23"/>
      <c r="C131" s="24"/>
      <c r="D131" s="23"/>
      <c r="E131" s="25"/>
      <c r="F131" s="25"/>
      <c r="G131" s="23"/>
      <c r="H131" s="23"/>
      <c r="I131" s="23"/>
      <c r="J131" s="23"/>
      <c r="K131" s="8"/>
      <c r="L131" s="7"/>
      <c r="M131" s="7"/>
      <c r="N131" s="7"/>
      <c r="O131" s="7"/>
      <c r="P131" s="7"/>
      <c r="Q131" s="7"/>
      <c r="R131" s="7"/>
      <c r="S131" s="7"/>
      <c r="T131" s="7"/>
      <c r="U131" s="5"/>
      <c r="V131" s="5"/>
      <c r="W131" s="5"/>
      <c r="X131" s="5"/>
      <c r="Y131" s="5"/>
      <c r="Z131" s="5"/>
    </row>
    <row r="132" spans="1:26" ht="13.5" customHeight="1">
      <c r="A132" s="7"/>
      <c r="B132" s="23"/>
      <c r="C132" s="24"/>
      <c r="D132" s="23"/>
      <c r="E132" s="25"/>
      <c r="F132" s="25"/>
      <c r="G132" s="23"/>
      <c r="H132" s="23"/>
      <c r="I132" s="23"/>
      <c r="J132" s="23"/>
      <c r="K132" s="8"/>
      <c r="L132" s="7"/>
      <c r="M132" s="7"/>
      <c r="N132" s="7"/>
      <c r="O132" s="7"/>
      <c r="P132" s="7"/>
      <c r="Q132" s="7"/>
      <c r="R132" s="7"/>
      <c r="S132" s="7"/>
      <c r="T132" s="7"/>
      <c r="U132" s="5"/>
      <c r="V132" s="5"/>
      <c r="W132" s="5"/>
      <c r="X132" s="5"/>
      <c r="Y132" s="5"/>
      <c r="Z132" s="5"/>
    </row>
    <row r="133" spans="1:26" ht="13.5" customHeight="1">
      <c r="A133" s="7"/>
      <c r="B133" s="23"/>
      <c r="C133" s="24"/>
      <c r="D133" s="23"/>
      <c r="E133" s="25"/>
      <c r="F133" s="25"/>
      <c r="G133" s="23"/>
      <c r="H133" s="23"/>
      <c r="I133" s="23"/>
      <c r="J133" s="23"/>
      <c r="K133" s="8"/>
      <c r="L133" s="7"/>
      <c r="M133" s="7"/>
      <c r="N133" s="7"/>
      <c r="O133" s="7"/>
      <c r="P133" s="7"/>
      <c r="Q133" s="7"/>
      <c r="R133" s="7"/>
      <c r="S133" s="7"/>
      <c r="T133" s="7"/>
      <c r="U133" s="5"/>
      <c r="V133" s="5"/>
      <c r="W133" s="5"/>
      <c r="X133" s="5"/>
      <c r="Y133" s="5"/>
      <c r="Z133" s="5"/>
    </row>
    <row r="134" spans="1:26" ht="13.5" customHeight="1">
      <c r="A134" s="7"/>
      <c r="B134" s="23"/>
      <c r="C134" s="24"/>
      <c r="D134" s="23"/>
      <c r="E134" s="25"/>
      <c r="F134" s="25"/>
      <c r="G134" s="23"/>
      <c r="H134" s="23"/>
      <c r="I134" s="23"/>
      <c r="J134" s="23"/>
      <c r="K134" s="8"/>
      <c r="L134" s="7"/>
      <c r="M134" s="7"/>
      <c r="N134" s="7"/>
      <c r="O134" s="7"/>
      <c r="P134" s="7"/>
      <c r="Q134" s="7"/>
      <c r="R134" s="7"/>
      <c r="S134" s="7"/>
      <c r="T134" s="7"/>
      <c r="U134" s="5"/>
      <c r="V134" s="5"/>
      <c r="W134" s="5"/>
      <c r="X134" s="5"/>
      <c r="Y134" s="5"/>
      <c r="Z134" s="5"/>
    </row>
    <row r="135" spans="1:26" ht="13.5" customHeight="1">
      <c r="A135" s="7"/>
      <c r="B135" s="23"/>
      <c r="C135" s="24"/>
      <c r="D135" s="23"/>
      <c r="E135" s="25"/>
      <c r="F135" s="25"/>
      <c r="G135" s="23"/>
      <c r="H135" s="23"/>
      <c r="I135" s="23"/>
      <c r="J135" s="23"/>
      <c r="K135" s="8"/>
      <c r="L135" s="7"/>
      <c r="M135" s="7"/>
      <c r="N135" s="7"/>
      <c r="O135" s="7"/>
      <c r="P135" s="7"/>
      <c r="Q135" s="7"/>
      <c r="R135" s="7"/>
      <c r="S135" s="7"/>
      <c r="T135" s="7"/>
      <c r="U135" s="5"/>
      <c r="V135" s="5"/>
      <c r="W135" s="5"/>
      <c r="X135" s="5"/>
      <c r="Y135" s="5"/>
      <c r="Z135" s="5"/>
    </row>
    <row r="136" spans="1:26" ht="13.5" customHeight="1">
      <c r="A136" s="7"/>
      <c r="B136" s="23"/>
      <c r="C136" s="24"/>
      <c r="D136" s="23"/>
      <c r="E136" s="25"/>
      <c r="F136" s="25"/>
      <c r="G136" s="23"/>
      <c r="H136" s="23"/>
      <c r="I136" s="23"/>
      <c r="J136" s="23"/>
      <c r="K136" s="8"/>
      <c r="L136" s="7"/>
      <c r="M136" s="7"/>
      <c r="N136" s="7"/>
      <c r="O136" s="7"/>
      <c r="P136" s="7"/>
      <c r="Q136" s="7"/>
      <c r="R136" s="7"/>
      <c r="S136" s="7"/>
      <c r="T136" s="7"/>
      <c r="U136" s="5"/>
      <c r="V136" s="5"/>
      <c r="W136" s="5"/>
      <c r="X136" s="5"/>
      <c r="Y136" s="5"/>
      <c r="Z136" s="5"/>
    </row>
    <row r="137" spans="1:26" ht="13.5" customHeight="1">
      <c r="A137" s="7"/>
      <c r="B137" s="23"/>
      <c r="C137" s="24"/>
      <c r="D137" s="23"/>
      <c r="E137" s="25"/>
      <c r="F137" s="25"/>
      <c r="G137" s="23"/>
      <c r="H137" s="23"/>
      <c r="I137" s="23"/>
      <c r="J137" s="23"/>
      <c r="K137" s="8"/>
      <c r="L137" s="7"/>
      <c r="M137" s="7"/>
      <c r="N137" s="7"/>
      <c r="O137" s="7"/>
      <c r="P137" s="7"/>
      <c r="Q137" s="7"/>
      <c r="R137" s="7"/>
      <c r="S137" s="7"/>
      <c r="T137" s="7"/>
      <c r="U137" s="5"/>
      <c r="V137" s="5"/>
      <c r="W137" s="5"/>
      <c r="X137" s="5"/>
      <c r="Y137" s="5"/>
      <c r="Z137" s="5"/>
    </row>
    <row r="138" spans="1:26" ht="13.5" customHeight="1">
      <c r="A138" s="7"/>
      <c r="B138" s="23"/>
      <c r="C138" s="24"/>
      <c r="D138" s="23"/>
      <c r="E138" s="25"/>
      <c r="F138" s="25"/>
      <c r="G138" s="23"/>
      <c r="H138" s="23"/>
      <c r="I138" s="23"/>
      <c r="J138" s="23"/>
      <c r="K138" s="8"/>
      <c r="L138" s="7"/>
      <c r="M138" s="7"/>
      <c r="N138" s="7"/>
      <c r="O138" s="7"/>
      <c r="P138" s="7"/>
      <c r="Q138" s="7"/>
      <c r="R138" s="7"/>
      <c r="S138" s="7"/>
      <c r="T138" s="7"/>
      <c r="U138" s="5"/>
      <c r="V138" s="5"/>
      <c r="W138" s="5"/>
      <c r="X138" s="5"/>
      <c r="Y138" s="5"/>
      <c r="Z138" s="5"/>
    </row>
    <row r="139" spans="1:26" ht="13.5" customHeight="1">
      <c r="A139" s="7"/>
      <c r="B139" s="23"/>
      <c r="C139" s="24"/>
      <c r="D139" s="23"/>
      <c r="E139" s="25"/>
      <c r="F139" s="25"/>
      <c r="G139" s="23"/>
      <c r="H139" s="23"/>
      <c r="I139" s="23"/>
      <c r="J139" s="23"/>
      <c r="K139" s="8"/>
      <c r="L139" s="7"/>
      <c r="M139" s="7"/>
      <c r="N139" s="7"/>
      <c r="O139" s="7"/>
      <c r="P139" s="7"/>
      <c r="Q139" s="7"/>
      <c r="R139" s="7"/>
      <c r="S139" s="7"/>
      <c r="T139" s="7"/>
      <c r="U139" s="5"/>
      <c r="V139" s="5"/>
      <c r="W139" s="5"/>
      <c r="X139" s="5"/>
      <c r="Y139" s="5"/>
      <c r="Z139" s="5"/>
    </row>
    <row r="140" spans="1:26" ht="13.5" customHeight="1">
      <c r="A140" s="7"/>
      <c r="B140" s="23"/>
      <c r="C140" s="24"/>
      <c r="D140" s="23"/>
      <c r="E140" s="25"/>
      <c r="F140" s="25"/>
      <c r="G140" s="23"/>
      <c r="H140" s="23"/>
      <c r="I140" s="23"/>
      <c r="J140" s="23"/>
      <c r="K140" s="8"/>
      <c r="L140" s="7"/>
      <c r="M140" s="7"/>
      <c r="N140" s="7"/>
      <c r="O140" s="7"/>
      <c r="P140" s="7"/>
      <c r="Q140" s="7"/>
      <c r="R140" s="7"/>
      <c r="S140" s="7"/>
      <c r="T140" s="7"/>
      <c r="U140" s="5"/>
      <c r="V140" s="5"/>
      <c r="W140" s="5"/>
      <c r="X140" s="5"/>
      <c r="Y140" s="5"/>
      <c r="Z140" s="5"/>
    </row>
    <row r="141" spans="1:26" ht="13.5" customHeight="1">
      <c r="A141" s="7"/>
      <c r="B141" s="23"/>
      <c r="C141" s="24"/>
      <c r="D141" s="23"/>
      <c r="E141" s="25"/>
      <c r="F141" s="25"/>
      <c r="G141" s="23"/>
      <c r="H141" s="23"/>
      <c r="I141" s="23"/>
      <c r="J141" s="23"/>
      <c r="K141" s="8"/>
      <c r="L141" s="7"/>
      <c r="M141" s="7"/>
      <c r="N141" s="7"/>
      <c r="O141" s="7"/>
      <c r="P141" s="7"/>
      <c r="Q141" s="7"/>
      <c r="R141" s="7"/>
      <c r="S141" s="7"/>
      <c r="T141" s="7"/>
      <c r="U141" s="5"/>
      <c r="V141" s="5"/>
      <c r="W141" s="5"/>
      <c r="X141" s="5"/>
      <c r="Y141" s="5"/>
      <c r="Z141" s="5"/>
    </row>
    <row r="142" spans="1:26" ht="13.5" customHeight="1">
      <c r="A142" s="7"/>
      <c r="B142" s="23"/>
      <c r="C142" s="24"/>
      <c r="D142" s="23"/>
      <c r="E142" s="25"/>
      <c r="F142" s="25"/>
      <c r="G142" s="23"/>
      <c r="H142" s="23"/>
      <c r="I142" s="23"/>
      <c r="J142" s="23"/>
      <c r="K142" s="8"/>
      <c r="L142" s="7"/>
      <c r="M142" s="7"/>
      <c r="N142" s="7"/>
      <c r="O142" s="7"/>
      <c r="P142" s="7"/>
      <c r="Q142" s="7"/>
      <c r="R142" s="7"/>
      <c r="S142" s="7"/>
      <c r="T142" s="7"/>
      <c r="U142" s="5"/>
      <c r="V142" s="5"/>
      <c r="W142" s="5"/>
      <c r="X142" s="5"/>
      <c r="Y142" s="5"/>
      <c r="Z142" s="5"/>
    </row>
    <row r="143" spans="1:26" ht="13.5" customHeight="1">
      <c r="A143" s="7"/>
      <c r="B143" s="23"/>
      <c r="C143" s="24"/>
      <c r="D143" s="23"/>
      <c r="E143" s="25"/>
      <c r="F143" s="25"/>
      <c r="G143" s="23"/>
      <c r="H143" s="23"/>
      <c r="I143" s="23"/>
      <c r="J143" s="23"/>
      <c r="K143" s="8"/>
      <c r="L143" s="7"/>
      <c r="M143" s="7"/>
      <c r="N143" s="7"/>
      <c r="O143" s="7"/>
      <c r="P143" s="7"/>
      <c r="Q143" s="7"/>
      <c r="R143" s="7"/>
      <c r="S143" s="7"/>
      <c r="T143" s="7"/>
      <c r="U143" s="5"/>
      <c r="V143" s="5"/>
      <c r="W143" s="5"/>
      <c r="X143" s="5"/>
      <c r="Y143" s="5"/>
      <c r="Z143" s="5"/>
    </row>
    <row r="144" spans="1:26" ht="13.5" customHeight="1">
      <c r="A144" s="7"/>
      <c r="B144" s="23"/>
      <c r="C144" s="24"/>
      <c r="D144" s="23"/>
      <c r="E144" s="25"/>
      <c r="F144" s="25"/>
      <c r="G144" s="23"/>
      <c r="H144" s="23"/>
      <c r="I144" s="23"/>
      <c r="J144" s="23"/>
      <c r="K144" s="8"/>
      <c r="L144" s="7"/>
      <c r="M144" s="7"/>
      <c r="N144" s="7"/>
      <c r="O144" s="7"/>
      <c r="P144" s="7"/>
      <c r="Q144" s="7"/>
      <c r="R144" s="7"/>
      <c r="S144" s="7"/>
      <c r="T144" s="7"/>
      <c r="U144" s="5"/>
      <c r="V144" s="5"/>
      <c r="W144" s="5"/>
      <c r="X144" s="5"/>
      <c r="Y144" s="5"/>
      <c r="Z144" s="5"/>
    </row>
    <row r="145" spans="1:26" ht="13.5" customHeight="1">
      <c r="A145" s="7"/>
      <c r="B145" s="23"/>
      <c r="C145" s="24"/>
      <c r="D145" s="23"/>
      <c r="E145" s="25"/>
      <c r="F145" s="25"/>
      <c r="G145" s="23"/>
      <c r="H145" s="23"/>
      <c r="I145" s="23"/>
      <c r="J145" s="23"/>
      <c r="K145" s="8"/>
      <c r="L145" s="7"/>
      <c r="M145" s="7"/>
      <c r="N145" s="7"/>
      <c r="O145" s="7"/>
      <c r="P145" s="7"/>
      <c r="Q145" s="7"/>
      <c r="R145" s="7"/>
      <c r="S145" s="7"/>
      <c r="T145" s="7"/>
      <c r="U145" s="5"/>
      <c r="V145" s="5"/>
      <c r="W145" s="5"/>
      <c r="X145" s="5"/>
      <c r="Y145" s="5"/>
      <c r="Z145" s="5"/>
    </row>
    <row r="146" spans="1:26" ht="13.5" customHeight="1">
      <c r="A146" s="7"/>
      <c r="B146" s="23"/>
      <c r="C146" s="24"/>
      <c r="D146" s="23"/>
      <c r="E146" s="25"/>
      <c r="F146" s="25"/>
      <c r="G146" s="23"/>
      <c r="H146" s="23"/>
      <c r="I146" s="23"/>
      <c r="J146" s="23"/>
      <c r="K146" s="8"/>
      <c r="L146" s="7"/>
      <c r="M146" s="7"/>
      <c r="N146" s="7"/>
      <c r="O146" s="7"/>
      <c r="P146" s="7"/>
      <c r="Q146" s="7"/>
      <c r="R146" s="7"/>
      <c r="S146" s="7"/>
      <c r="T146" s="7"/>
      <c r="U146" s="5"/>
      <c r="V146" s="5"/>
      <c r="W146" s="5"/>
      <c r="X146" s="5"/>
      <c r="Y146" s="5"/>
      <c r="Z146" s="5"/>
    </row>
    <row r="147" spans="1:26" ht="13.5" customHeight="1">
      <c r="A147" s="7"/>
      <c r="B147" s="23"/>
      <c r="C147" s="24"/>
      <c r="D147" s="23"/>
      <c r="E147" s="25"/>
      <c r="F147" s="25"/>
      <c r="G147" s="23"/>
      <c r="H147" s="23"/>
      <c r="I147" s="23"/>
      <c r="J147" s="23"/>
      <c r="K147" s="8"/>
      <c r="L147" s="7"/>
      <c r="M147" s="7"/>
      <c r="N147" s="7"/>
      <c r="O147" s="7"/>
      <c r="P147" s="7"/>
      <c r="Q147" s="7"/>
      <c r="R147" s="7"/>
      <c r="S147" s="7"/>
      <c r="T147" s="7"/>
      <c r="U147" s="5"/>
      <c r="V147" s="5"/>
      <c r="W147" s="5"/>
      <c r="X147" s="5"/>
      <c r="Y147" s="5"/>
      <c r="Z147" s="5"/>
    </row>
    <row r="148" spans="1:26" ht="13.5" customHeight="1">
      <c r="A148" s="7"/>
      <c r="B148" s="23"/>
      <c r="C148" s="24"/>
      <c r="D148" s="23"/>
      <c r="E148" s="25"/>
      <c r="F148" s="25"/>
      <c r="G148" s="23"/>
      <c r="H148" s="23"/>
      <c r="I148" s="23"/>
      <c r="J148" s="23"/>
      <c r="K148" s="8"/>
      <c r="L148" s="7"/>
      <c r="M148" s="7"/>
      <c r="N148" s="7"/>
      <c r="O148" s="7"/>
      <c r="P148" s="7"/>
      <c r="Q148" s="7"/>
      <c r="R148" s="7"/>
      <c r="S148" s="7"/>
      <c r="T148" s="7"/>
      <c r="U148" s="5"/>
      <c r="V148" s="5"/>
      <c r="W148" s="5"/>
      <c r="X148" s="5"/>
      <c r="Y148" s="5"/>
      <c r="Z148" s="5"/>
    </row>
    <row r="149" spans="1:26" ht="13.5" customHeight="1">
      <c r="A149" s="7"/>
      <c r="B149" s="23"/>
      <c r="C149" s="24"/>
      <c r="D149" s="23"/>
      <c r="E149" s="25"/>
      <c r="F149" s="25"/>
      <c r="G149" s="23"/>
      <c r="H149" s="23"/>
      <c r="I149" s="23"/>
      <c r="J149" s="23"/>
      <c r="K149" s="8"/>
      <c r="L149" s="7"/>
      <c r="M149" s="7"/>
      <c r="N149" s="7"/>
      <c r="O149" s="7"/>
      <c r="P149" s="7"/>
      <c r="Q149" s="7"/>
      <c r="R149" s="7"/>
      <c r="S149" s="7"/>
      <c r="T149" s="7"/>
      <c r="U149" s="5"/>
      <c r="V149" s="5"/>
      <c r="W149" s="5"/>
      <c r="X149" s="5"/>
      <c r="Y149" s="5"/>
      <c r="Z149" s="5"/>
    </row>
    <row r="150" spans="1:26" ht="13.5" customHeight="1">
      <c r="A150" s="7"/>
      <c r="B150" s="23"/>
      <c r="C150" s="24"/>
      <c r="D150" s="23"/>
      <c r="E150" s="25"/>
      <c r="F150" s="25"/>
      <c r="G150" s="23"/>
      <c r="H150" s="23"/>
      <c r="I150" s="23"/>
      <c r="J150" s="23"/>
      <c r="K150" s="8"/>
      <c r="L150" s="7"/>
      <c r="M150" s="7"/>
      <c r="N150" s="7"/>
      <c r="O150" s="7"/>
      <c r="P150" s="7"/>
      <c r="Q150" s="7"/>
      <c r="R150" s="7"/>
      <c r="S150" s="7"/>
      <c r="T150" s="7"/>
      <c r="U150" s="5"/>
      <c r="V150" s="5"/>
      <c r="W150" s="5"/>
      <c r="X150" s="5"/>
      <c r="Y150" s="5"/>
      <c r="Z150" s="5"/>
    </row>
    <row r="151" spans="1:26" ht="13.5" customHeight="1">
      <c r="A151" s="7"/>
      <c r="B151" s="23"/>
      <c r="C151" s="24"/>
      <c r="D151" s="23"/>
      <c r="E151" s="25"/>
      <c r="F151" s="25"/>
      <c r="G151" s="23"/>
      <c r="H151" s="23"/>
      <c r="I151" s="23"/>
      <c r="J151" s="23"/>
      <c r="K151" s="8"/>
      <c r="L151" s="7"/>
      <c r="M151" s="7"/>
      <c r="N151" s="7"/>
      <c r="O151" s="7"/>
      <c r="P151" s="7"/>
      <c r="Q151" s="7"/>
      <c r="R151" s="7"/>
      <c r="S151" s="7"/>
      <c r="T151" s="7"/>
      <c r="U151" s="5"/>
      <c r="V151" s="5"/>
      <c r="W151" s="5"/>
      <c r="X151" s="5"/>
      <c r="Y151" s="5"/>
      <c r="Z151" s="5"/>
    </row>
    <row r="152" spans="1:26" ht="13.5" customHeight="1">
      <c r="A152" s="7"/>
      <c r="B152" s="23"/>
      <c r="C152" s="24"/>
      <c r="D152" s="23"/>
      <c r="E152" s="25"/>
      <c r="F152" s="25"/>
      <c r="G152" s="23"/>
      <c r="H152" s="23"/>
      <c r="I152" s="23"/>
      <c r="J152" s="23"/>
      <c r="K152" s="8"/>
      <c r="L152" s="7"/>
      <c r="M152" s="7"/>
      <c r="N152" s="7"/>
      <c r="O152" s="7"/>
      <c r="P152" s="7"/>
      <c r="Q152" s="7"/>
      <c r="R152" s="7"/>
      <c r="S152" s="7"/>
      <c r="T152" s="7"/>
      <c r="U152" s="5"/>
      <c r="V152" s="5"/>
      <c r="W152" s="5"/>
      <c r="X152" s="5"/>
      <c r="Y152" s="5"/>
      <c r="Z152" s="5"/>
    </row>
    <row r="153" spans="1:26" ht="13.5" customHeight="1">
      <c r="A153" s="7"/>
      <c r="B153" s="23"/>
      <c r="C153" s="24"/>
      <c r="D153" s="23"/>
      <c r="E153" s="25"/>
      <c r="F153" s="25"/>
      <c r="G153" s="23"/>
      <c r="H153" s="23"/>
      <c r="I153" s="23"/>
      <c r="J153" s="23"/>
      <c r="K153" s="8"/>
      <c r="L153" s="7"/>
      <c r="M153" s="7"/>
      <c r="N153" s="7"/>
      <c r="O153" s="7"/>
      <c r="P153" s="7"/>
      <c r="Q153" s="7"/>
      <c r="R153" s="7"/>
      <c r="S153" s="7"/>
      <c r="T153" s="7"/>
      <c r="U153" s="5"/>
      <c r="V153" s="5"/>
      <c r="W153" s="5"/>
      <c r="X153" s="5"/>
      <c r="Y153" s="5"/>
      <c r="Z153" s="5"/>
    </row>
    <row r="154" spans="1:26" ht="13.5" customHeight="1">
      <c r="A154" s="7"/>
      <c r="B154" s="23"/>
      <c r="C154" s="24"/>
      <c r="D154" s="23"/>
      <c r="E154" s="25"/>
      <c r="F154" s="25"/>
      <c r="G154" s="23"/>
      <c r="H154" s="23"/>
      <c r="I154" s="23"/>
      <c r="J154" s="23"/>
      <c r="K154" s="8"/>
      <c r="L154" s="7"/>
      <c r="M154" s="7"/>
      <c r="N154" s="7"/>
      <c r="O154" s="7"/>
      <c r="P154" s="7"/>
      <c r="Q154" s="7"/>
      <c r="R154" s="7"/>
      <c r="S154" s="7"/>
      <c r="T154" s="7"/>
      <c r="U154" s="5"/>
      <c r="V154" s="5"/>
      <c r="W154" s="5"/>
      <c r="X154" s="5"/>
      <c r="Y154" s="5"/>
      <c r="Z154" s="5"/>
    </row>
    <row r="155" spans="1:26" ht="13.5" customHeight="1">
      <c r="A155" s="7"/>
      <c r="B155" s="23"/>
      <c r="C155" s="24"/>
      <c r="D155" s="23"/>
      <c r="E155" s="25"/>
      <c r="F155" s="25"/>
      <c r="G155" s="23"/>
      <c r="H155" s="23"/>
      <c r="I155" s="23"/>
      <c r="J155" s="23"/>
      <c r="K155" s="8"/>
      <c r="L155" s="7"/>
      <c r="M155" s="7"/>
      <c r="N155" s="7"/>
      <c r="O155" s="7"/>
      <c r="P155" s="7"/>
      <c r="Q155" s="7"/>
      <c r="R155" s="7"/>
      <c r="S155" s="7"/>
      <c r="T155" s="7"/>
      <c r="U155" s="5"/>
      <c r="V155" s="5"/>
      <c r="W155" s="5"/>
      <c r="X155" s="5"/>
      <c r="Y155" s="5"/>
      <c r="Z155" s="5"/>
    </row>
    <row r="156" spans="1:26" ht="13.5" customHeight="1">
      <c r="A156" s="7"/>
      <c r="B156" s="23"/>
      <c r="C156" s="24"/>
      <c r="D156" s="23"/>
      <c r="E156" s="25"/>
      <c r="F156" s="25"/>
      <c r="G156" s="23"/>
      <c r="H156" s="23"/>
      <c r="I156" s="23"/>
      <c r="J156" s="23"/>
      <c r="K156" s="8"/>
      <c r="L156" s="7"/>
      <c r="M156" s="7"/>
      <c r="N156" s="7"/>
      <c r="O156" s="7"/>
      <c r="P156" s="7"/>
      <c r="Q156" s="7"/>
      <c r="R156" s="7"/>
      <c r="S156" s="7"/>
      <c r="T156" s="7"/>
      <c r="U156" s="5"/>
      <c r="V156" s="5"/>
      <c r="W156" s="5"/>
      <c r="X156" s="5"/>
      <c r="Y156" s="5"/>
      <c r="Z156" s="5"/>
    </row>
    <row r="157" spans="1:26" ht="13.5" customHeight="1">
      <c r="A157" s="7"/>
      <c r="B157" s="23"/>
      <c r="C157" s="24"/>
      <c r="D157" s="23"/>
      <c r="E157" s="25"/>
      <c r="F157" s="25"/>
      <c r="G157" s="23"/>
      <c r="H157" s="23"/>
      <c r="I157" s="23"/>
      <c r="J157" s="23"/>
      <c r="K157" s="8"/>
      <c r="L157" s="7"/>
      <c r="M157" s="7"/>
      <c r="N157" s="7"/>
      <c r="O157" s="7"/>
      <c r="P157" s="7"/>
      <c r="Q157" s="7"/>
      <c r="R157" s="7"/>
      <c r="S157" s="7"/>
      <c r="T157" s="7"/>
      <c r="U157" s="5"/>
      <c r="V157" s="5"/>
      <c r="W157" s="5"/>
      <c r="X157" s="5"/>
      <c r="Y157" s="5"/>
      <c r="Z157" s="5"/>
    </row>
    <row r="158" spans="1:26" ht="13.5" customHeight="1">
      <c r="A158" s="7"/>
      <c r="B158" s="23"/>
      <c r="C158" s="24"/>
      <c r="D158" s="23"/>
      <c r="E158" s="25"/>
      <c r="F158" s="25"/>
      <c r="G158" s="23"/>
      <c r="H158" s="23"/>
      <c r="I158" s="23"/>
      <c r="J158" s="23"/>
      <c r="K158" s="8"/>
      <c r="L158" s="7"/>
      <c r="M158" s="7"/>
      <c r="N158" s="7"/>
      <c r="O158" s="7"/>
      <c r="P158" s="7"/>
      <c r="Q158" s="7"/>
      <c r="R158" s="7"/>
      <c r="S158" s="7"/>
      <c r="T158" s="7"/>
      <c r="U158" s="5"/>
      <c r="V158" s="5"/>
      <c r="W158" s="5"/>
      <c r="X158" s="5"/>
      <c r="Y158" s="5"/>
      <c r="Z158" s="5"/>
    </row>
    <row r="159" spans="1:26" ht="13.5" customHeight="1">
      <c r="A159" s="7"/>
      <c r="B159" s="23"/>
      <c r="C159" s="24"/>
      <c r="D159" s="23"/>
      <c r="E159" s="25"/>
      <c r="F159" s="25"/>
      <c r="G159" s="23"/>
      <c r="H159" s="23"/>
      <c r="I159" s="23"/>
      <c r="J159" s="23"/>
      <c r="K159" s="8"/>
      <c r="L159" s="7"/>
      <c r="M159" s="7"/>
      <c r="N159" s="7"/>
      <c r="O159" s="7"/>
      <c r="P159" s="7"/>
      <c r="Q159" s="7"/>
      <c r="R159" s="7"/>
      <c r="S159" s="7"/>
      <c r="T159" s="7"/>
      <c r="U159" s="5"/>
      <c r="V159" s="5"/>
      <c r="W159" s="5"/>
      <c r="X159" s="5"/>
      <c r="Y159" s="5"/>
      <c r="Z159" s="5"/>
    </row>
    <row r="160" spans="1:26" ht="13.5" customHeight="1">
      <c r="A160" s="7"/>
      <c r="B160" s="23"/>
      <c r="C160" s="24"/>
      <c r="D160" s="23"/>
      <c r="E160" s="25"/>
      <c r="F160" s="25"/>
      <c r="G160" s="23"/>
      <c r="H160" s="23"/>
      <c r="I160" s="23"/>
      <c r="J160" s="23"/>
      <c r="K160" s="8"/>
      <c r="L160" s="7"/>
      <c r="M160" s="7"/>
      <c r="N160" s="7"/>
      <c r="O160" s="7"/>
      <c r="P160" s="7"/>
      <c r="Q160" s="7"/>
      <c r="R160" s="7"/>
      <c r="S160" s="7"/>
      <c r="T160" s="7"/>
      <c r="U160" s="5"/>
      <c r="V160" s="5"/>
      <c r="W160" s="5"/>
      <c r="X160" s="5"/>
      <c r="Y160" s="5"/>
      <c r="Z160" s="5"/>
    </row>
    <row r="161" spans="1:26" ht="13.5" customHeight="1">
      <c r="A161" s="7"/>
      <c r="B161" s="23"/>
      <c r="C161" s="24"/>
      <c r="D161" s="23"/>
      <c r="E161" s="25"/>
      <c r="F161" s="25"/>
      <c r="G161" s="23"/>
      <c r="H161" s="23"/>
      <c r="I161" s="23"/>
      <c r="J161" s="23"/>
      <c r="K161" s="8"/>
      <c r="L161" s="7"/>
      <c r="M161" s="7"/>
      <c r="N161" s="7"/>
      <c r="O161" s="7"/>
      <c r="P161" s="7"/>
      <c r="Q161" s="7"/>
      <c r="R161" s="7"/>
      <c r="S161" s="7"/>
      <c r="T161" s="7"/>
      <c r="U161" s="5"/>
      <c r="V161" s="5"/>
      <c r="W161" s="5"/>
      <c r="X161" s="5"/>
      <c r="Y161" s="5"/>
      <c r="Z161" s="5"/>
    </row>
    <row r="162" spans="1:26" ht="13.5" customHeight="1">
      <c r="A162" s="7"/>
      <c r="B162" s="23"/>
      <c r="C162" s="24"/>
      <c r="D162" s="23"/>
      <c r="E162" s="25"/>
      <c r="F162" s="25"/>
      <c r="G162" s="23"/>
      <c r="H162" s="23"/>
      <c r="I162" s="23"/>
      <c r="J162" s="23"/>
      <c r="K162" s="8"/>
      <c r="L162" s="7"/>
      <c r="M162" s="7"/>
      <c r="N162" s="7"/>
      <c r="O162" s="7"/>
      <c r="P162" s="7"/>
      <c r="Q162" s="7"/>
      <c r="R162" s="7"/>
      <c r="S162" s="7"/>
      <c r="T162" s="7"/>
      <c r="U162" s="5"/>
      <c r="V162" s="5"/>
      <c r="W162" s="5"/>
      <c r="X162" s="5"/>
      <c r="Y162" s="5"/>
      <c r="Z162" s="5"/>
    </row>
    <row r="163" spans="1:26" ht="13.5" customHeight="1">
      <c r="A163" s="7"/>
      <c r="B163" s="23"/>
      <c r="C163" s="24"/>
      <c r="D163" s="23"/>
      <c r="E163" s="25"/>
      <c r="F163" s="25"/>
      <c r="G163" s="23"/>
      <c r="H163" s="23"/>
      <c r="I163" s="23"/>
      <c r="J163" s="23"/>
      <c r="K163" s="8"/>
      <c r="L163" s="7"/>
      <c r="M163" s="7"/>
      <c r="N163" s="7"/>
      <c r="O163" s="7"/>
      <c r="P163" s="7"/>
      <c r="Q163" s="7"/>
      <c r="R163" s="7"/>
      <c r="S163" s="7"/>
      <c r="T163" s="7"/>
      <c r="U163" s="5"/>
      <c r="V163" s="5"/>
      <c r="W163" s="5"/>
      <c r="X163" s="5"/>
      <c r="Y163" s="5"/>
      <c r="Z163" s="5"/>
    </row>
    <row r="164" spans="1:26" ht="13.5" customHeight="1">
      <c r="A164" s="7"/>
      <c r="B164" s="23"/>
      <c r="C164" s="24"/>
      <c r="D164" s="23"/>
      <c r="E164" s="25"/>
      <c r="F164" s="25"/>
      <c r="G164" s="23"/>
      <c r="H164" s="23"/>
      <c r="I164" s="23"/>
      <c r="J164" s="23"/>
      <c r="K164" s="8"/>
      <c r="L164" s="7"/>
      <c r="M164" s="7"/>
      <c r="N164" s="7"/>
      <c r="O164" s="7"/>
      <c r="P164" s="7"/>
      <c r="Q164" s="7"/>
      <c r="R164" s="7"/>
      <c r="S164" s="7"/>
      <c r="T164" s="7"/>
      <c r="U164" s="5"/>
      <c r="V164" s="5"/>
      <c r="W164" s="5"/>
      <c r="X164" s="5"/>
      <c r="Y164" s="5"/>
      <c r="Z164" s="5"/>
    </row>
    <row r="165" spans="1:26" ht="13.5" customHeight="1">
      <c r="A165" s="7"/>
      <c r="B165" s="23"/>
      <c r="C165" s="24"/>
      <c r="D165" s="23"/>
      <c r="E165" s="25"/>
      <c r="F165" s="25"/>
      <c r="G165" s="23"/>
      <c r="H165" s="23"/>
      <c r="I165" s="23"/>
      <c r="J165" s="23"/>
      <c r="K165" s="8"/>
      <c r="L165" s="7"/>
      <c r="M165" s="7"/>
      <c r="N165" s="7"/>
      <c r="O165" s="7"/>
      <c r="P165" s="7"/>
      <c r="Q165" s="7"/>
      <c r="R165" s="7"/>
      <c r="S165" s="7"/>
      <c r="T165" s="7"/>
      <c r="U165" s="5"/>
      <c r="V165" s="5"/>
      <c r="W165" s="5"/>
      <c r="X165" s="5"/>
      <c r="Y165" s="5"/>
      <c r="Z165" s="5"/>
    </row>
    <row r="166" spans="1:26" ht="13.5" customHeight="1">
      <c r="A166" s="7"/>
      <c r="B166" s="23"/>
      <c r="C166" s="24"/>
      <c r="D166" s="23"/>
      <c r="E166" s="25"/>
      <c r="F166" s="25"/>
      <c r="G166" s="23"/>
      <c r="H166" s="23"/>
      <c r="I166" s="23"/>
      <c r="J166" s="23"/>
      <c r="K166" s="8"/>
      <c r="L166" s="7"/>
      <c r="M166" s="7"/>
      <c r="N166" s="7"/>
      <c r="O166" s="7"/>
      <c r="P166" s="7"/>
      <c r="Q166" s="7"/>
      <c r="R166" s="7"/>
      <c r="S166" s="7"/>
      <c r="T166" s="7"/>
      <c r="U166" s="5"/>
      <c r="V166" s="5"/>
      <c r="W166" s="5"/>
      <c r="X166" s="5"/>
      <c r="Y166" s="5"/>
      <c r="Z166" s="5"/>
    </row>
    <row r="167" spans="1:26" ht="13.5" customHeight="1">
      <c r="A167" s="7"/>
      <c r="B167" s="23"/>
      <c r="C167" s="24"/>
      <c r="D167" s="23"/>
      <c r="E167" s="25"/>
      <c r="F167" s="25"/>
      <c r="G167" s="23"/>
      <c r="H167" s="23"/>
      <c r="I167" s="23"/>
      <c r="J167" s="23"/>
      <c r="K167" s="8"/>
      <c r="L167" s="7"/>
      <c r="M167" s="7"/>
      <c r="N167" s="7"/>
      <c r="O167" s="7"/>
      <c r="P167" s="7"/>
      <c r="Q167" s="7"/>
      <c r="R167" s="7"/>
      <c r="S167" s="7"/>
      <c r="T167" s="7"/>
      <c r="U167" s="5"/>
      <c r="V167" s="5"/>
      <c r="W167" s="5"/>
      <c r="X167" s="5"/>
      <c r="Y167" s="5"/>
      <c r="Z167" s="5"/>
    </row>
    <row r="168" spans="1:26" ht="13.5" customHeight="1">
      <c r="A168" s="7"/>
      <c r="B168" s="23"/>
      <c r="C168" s="24"/>
      <c r="D168" s="23"/>
      <c r="E168" s="25"/>
      <c r="F168" s="25"/>
      <c r="G168" s="23"/>
      <c r="H168" s="23"/>
      <c r="I168" s="23"/>
      <c r="J168" s="23"/>
      <c r="K168" s="8"/>
      <c r="L168" s="7"/>
      <c r="M168" s="7"/>
      <c r="N168" s="7"/>
      <c r="O168" s="7"/>
      <c r="P168" s="7"/>
      <c r="Q168" s="7"/>
      <c r="R168" s="7"/>
      <c r="S168" s="7"/>
      <c r="T168" s="7"/>
      <c r="U168" s="5"/>
      <c r="V168" s="5"/>
      <c r="W168" s="5"/>
      <c r="X168" s="5"/>
      <c r="Y168" s="5"/>
      <c r="Z168" s="5"/>
    </row>
    <row r="169" spans="1:26" ht="13.5" customHeight="1">
      <c r="A169" s="7"/>
      <c r="B169" s="23"/>
      <c r="C169" s="24"/>
      <c r="D169" s="23"/>
      <c r="E169" s="25"/>
      <c r="F169" s="25"/>
      <c r="G169" s="23"/>
      <c r="H169" s="23"/>
      <c r="I169" s="23"/>
      <c r="J169" s="23"/>
      <c r="K169" s="8"/>
      <c r="L169" s="7"/>
      <c r="M169" s="7"/>
      <c r="N169" s="7"/>
      <c r="O169" s="7"/>
      <c r="P169" s="7"/>
      <c r="Q169" s="7"/>
      <c r="R169" s="7"/>
      <c r="S169" s="7"/>
      <c r="T169" s="7"/>
      <c r="U169" s="5"/>
      <c r="V169" s="5"/>
      <c r="W169" s="5"/>
      <c r="X169" s="5"/>
      <c r="Y169" s="5"/>
      <c r="Z169" s="5"/>
    </row>
    <row r="170" spans="1:26" ht="13.5" customHeight="1">
      <c r="A170" s="7"/>
      <c r="B170" s="23"/>
      <c r="C170" s="24"/>
      <c r="D170" s="23"/>
      <c r="E170" s="25"/>
      <c r="F170" s="25"/>
      <c r="G170" s="23"/>
      <c r="H170" s="23"/>
      <c r="I170" s="23"/>
      <c r="J170" s="23"/>
      <c r="K170" s="8"/>
      <c r="L170" s="7"/>
      <c r="M170" s="7"/>
      <c r="N170" s="7"/>
      <c r="O170" s="7"/>
      <c r="P170" s="7"/>
      <c r="Q170" s="7"/>
      <c r="R170" s="7"/>
      <c r="S170" s="7"/>
      <c r="T170" s="7"/>
      <c r="U170" s="5"/>
      <c r="V170" s="5"/>
      <c r="W170" s="5"/>
      <c r="X170" s="5"/>
      <c r="Y170" s="5"/>
      <c r="Z170" s="5"/>
    </row>
    <row r="171" spans="1:26" ht="13.5" customHeight="1">
      <c r="A171" s="7"/>
      <c r="B171" s="23"/>
      <c r="C171" s="24"/>
      <c r="D171" s="23"/>
      <c r="E171" s="25"/>
      <c r="F171" s="25"/>
      <c r="G171" s="23"/>
      <c r="H171" s="23"/>
      <c r="I171" s="23"/>
      <c r="J171" s="23"/>
      <c r="K171" s="8"/>
      <c r="L171" s="7"/>
      <c r="M171" s="7"/>
      <c r="N171" s="7"/>
      <c r="O171" s="7"/>
      <c r="P171" s="7"/>
      <c r="Q171" s="7"/>
      <c r="R171" s="7"/>
      <c r="S171" s="7"/>
      <c r="T171" s="7"/>
      <c r="U171" s="5"/>
      <c r="V171" s="5"/>
      <c r="W171" s="5"/>
      <c r="X171" s="5"/>
      <c r="Y171" s="5"/>
      <c r="Z171" s="5"/>
    </row>
    <row r="172" spans="1:26" ht="13.5" customHeight="1">
      <c r="A172" s="7"/>
      <c r="B172" s="23"/>
      <c r="C172" s="24"/>
      <c r="D172" s="23"/>
      <c r="E172" s="25"/>
      <c r="F172" s="25"/>
      <c r="G172" s="23"/>
      <c r="H172" s="23"/>
      <c r="I172" s="23"/>
      <c r="J172" s="23"/>
      <c r="K172" s="8"/>
      <c r="L172" s="7"/>
      <c r="M172" s="7"/>
      <c r="N172" s="7"/>
      <c r="O172" s="7"/>
      <c r="P172" s="7"/>
      <c r="Q172" s="7"/>
      <c r="R172" s="7"/>
      <c r="S172" s="7"/>
      <c r="T172" s="7"/>
      <c r="U172" s="5"/>
      <c r="V172" s="5"/>
      <c r="W172" s="5"/>
      <c r="X172" s="5"/>
      <c r="Y172" s="5"/>
      <c r="Z172" s="5"/>
    </row>
    <row r="173" spans="1:26" ht="13.5" customHeight="1">
      <c r="A173" s="7"/>
      <c r="B173" s="23"/>
      <c r="C173" s="24"/>
      <c r="D173" s="23"/>
      <c r="E173" s="25"/>
      <c r="F173" s="25"/>
      <c r="G173" s="23"/>
      <c r="H173" s="23"/>
      <c r="I173" s="23"/>
      <c r="J173" s="23"/>
      <c r="K173" s="8"/>
      <c r="L173" s="7"/>
      <c r="M173" s="7"/>
      <c r="N173" s="7"/>
      <c r="O173" s="7"/>
      <c r="P173" s="7"/>
      <c r="Q173" s="7"/>
      <c r="R173" s="7"/>
      <c r="S173" s="7"/>
      <c r="T173" s="7"/>
      <c r="U173" s="5"/>
      <c r="V173" s="5"/>
      <c r="W173" s="5"/>
      <c r="X173" s="5"/>
      <c r="Y173" s="5"/>
      <c r="Z173" s="5"/>
    </row>
    <row r="174" spans="1:26" ht="13.5" customHeight="1">
      <c r="A174" s="7"/>
      <c r="B174" s="23"/>
      <c r="C174" s="24"/>
      <c r="D174" s="23"/>
      <c r="E174" s="25"/>
      <c r="F174" s="25"/>
      <c r="G174" s="23"/>
      <c r="H174" s="23"/>
      <c r="I174" s="23"/>
      <c r="J174" s="23"/>
      <c r="K174" s="8"/>
      <c r="L174" s="7"/>
      <c r="M174" s="7"/>
      <c r="N174" s="7"/>
      <c r="O174" s="7"/>
      <c r="P174" s="7"/>
      <c r="Q174" s="7"/>
      <c r="R174" s="7"/>
      <c r="S174" s="7"/>
      <c r="T174" s="7"/>
      <c r="U174" s="5"/>
      <c r="V174" s="5"/>
      <c r="W174" s="5"/>
      <c r="X174" s="5"/>
      <c r="Y174" s="5"/>
      <c r="Z174" s="5"/>
    </row>
    <row r="175" spans="1:26" ht="13.5" customHeight="1">
      <c r="A175" s="7"/>
      <c r="B175" s="23"/>
      <c r="C175" s="24"/>
      <c r="D175" s="23"/>
      <c r="E175" s="25"/>
      <c r="F175" s="25"/>
      <c r="G175" s="23"/>
      <c r="H175" s="23"/>
      <c r="I175" s="23"/>
      <c r="J175" s="23"/>
      <c r="K175" s="8"/>
      <c r="L175" s="7"/>
      <c r="M175" s="7"/>
      <c r="N175" s="7"/>
      <c r="O175" s="7"/>
      <c r="P175" s="7"/>
      <c r="Q175" s="7"/>
      <c r="R175" s="7"/>
      <c r="S175" s="7"/>
      <c r="T175" s="7"/>
      <c r="U175" s="5"/>
      <c r="V175" s="5"/>
      <c r="W175" s="5"/>
      <c r="X175" s="5"/>
      <c r="Y175" s="5"/>
      <c r="Z175" s="5"/>
    </row>
    <row r="176" spans="1:26" ht="13.5" customHeight="1">
      <c r="A176" s="7"/>
      <c r="B176" s="23"/>
      <c r="C176" s="24"/>
      <c r="D176" s="23"/>
      <c r="E176" s="25"/>
      <c r="F176" s="25"/>
      <c r="G176" s="23"/>
      <c r="H176" s="23"/>
      <c r="I176" s="23"/>
      <c r="J176" s="23"/>
      <c r="K176" s="8"/>
      <c r="L176" s="7"/>
      <c r="M176" s="7"/>
      <c r="N176" s="7"/>
      <c r="O176" s="7"/>
      <c r="P176" s="7"/>
      <c r="Q176" s="7"/>
      <c r="R176" s="7"/>
      <c r="S176" s="7"/>
      <c r="T176" s="7"/>
      <c r="U176" s="5"/>
      <c r="V176" s="5"/>
      <c r="W176" s="5"/>
      <c r="X176" s="5"/>
      <c r="Y176" s="5"/>
      <c r="Z176" s="5"/>
    </row>
    <row r="177" spans="1:26" ht="13.5" customHeight="1">
      <c r="A177" s="7"/>
      <c r="B177" s="23"/>
      <c r="C177" s="24"/>
      <c r="D177" s="23"/>
      <c r="E177" s="25"/>
      <c r="F177" s="25"/>
      <c r="G177" s="23"/>
      <c r="H177" s="23"/>
      <c r="I177" s="23"/>
      <c r="J177" s="23"/>
      <c r="K177" s="8"/>
      <c r="L177" s="7"/>
      <c r="M177" s="7"/>
      <c r="N177" s="7"/>
      <c r="O177" s="7"/>
      <c r="P177" s="7"/>
      <c r="Q177" s="7"/>
      <c r="R177" s="7"/>
      <c r="S177" s="7"/>
      <c r="T177" s="7"/>
      <c r="U177" s="5"/>
      <c r="V177" s="5"/>
      <c r="W177" s="5"/>
      <c r="X177" s="5"/>
      <c r="Y177" s="5"/>
      <c r="Z177" s="5"/>
    </row>
    <row r="178" spans="1:26" ht="13.5" customHeight="1">
      <c r="A178" s="7"/>
      <c r="B178" s="23"/>
      <c r="C178" s="24"/>
      <c r="D178" s="23"/>
      <c r="E178" s="25"/>
      <c r="F178" s="25"/>
      <c r="G178" s="23"/>
      <c r="H178" s="23"/>
      <c r="I178" s="23"/>
      <c r="J178" s="23"/>
      <c r="K178" s="8"/>
      <c r="L178" s="7"/>
      <c r="M178" s="7"/>
      <c r="N178" s="7"/>
      <c r="O178" s="7"/>
      <c r="P178" s="7"/>
      <c r="Q178" s="7"/>
      <c r="R178" s="7"/>
      <c r="S178" s="7"/>
      <c r="T178" s="7"/>
      <c r="U178" s="5"/>
      <c r="V178" s="5"/>
      <c r="W178" s="5"/>
      <c r="X178" s="5"/>
      <c r="Y178" s="5"/>
      <c r="Z178" s="5"/>
    </row>
    <row r="179" spans="1:26" ht="13.5" customHeight="1">
      <c r="A179" s="7"/>
      <c r="B179" s="23"/>
      <c r="C179" s="24"/>
      <c r="D179" s="23"/>
      <c r="E179" s="25"/>
      <c r="F179" s="25"/>
      <c r="G179" s="23"/>
      <c r="H179" s="23"/>
      <c r="I179" s="23"/>
      <c r="J179" s="23"/>
      <c r="K179" s="8"/>
      <c r="L179" s="7"/>
      <c r="M179" s="7"/>
      <c r="N179" s="7"/>
      <c r="O179" s="7"/>
      <c r="P179" s="7"/>
      <c r="Q179" s="7"/>
      <c r="R179" s="7"/>
      <c r="S179" s="7"/>
      <c r="T179" s="7"/>
      <c r="U179" s="5"/>
      <c r="V179" s="5"/>
      <c r="W179" s="5"/>
      <c r="X179" s="5"/>
      <c r="Y179" s="5"/>
      <c r="Z179" s="5"/>
    </row>
    <row r="180" spans="1:26" ht="13.5" customHeight="1">
      <c r="A180" s="7"/>
      <c r="B180" s="23"/>
      <c r="C180" s="24"/>
      <c r="D180" s="23"/>
      <c r="E180" s="25"/>
      <c r="F180" s="25"/>
      <c r="G180" s="23"/>
      <c r="H180" s="23"/>
      <c r="I180" s="23"/>
      <c r="J180" s="23"/>
      <c r="K180" s="8"/>
      <c r="L180" s="7"/>
      <c r="M180" s="7"/>
      <c r="N180" s="7"/>
      <c r="O180" s="7"/>
      <c r="P180" s="7"/>
      <c r="Q180" s="7"/>
      <c r="R180" s="7"/>
      <c r="S180" s="7"/>
      <c r="T180" s="7"/>
      <c r="U180" s="5"/>
      <c r="V180" s="5"/>
      <c r="W180" s="5"/>
      <c r="X180" s="5"/>
      <c r="Y180" s="5"/>
      <c r="Z180" s="5"/>
    </row>
    <row r="181" spans="1:26" ht="13.5" customHeight="1">
      <c r="A181" s="7"/>
      <c r="B181" s="23"/>
      <c r="C181" s="24"/>
      <c r="D181" s="23"/>
      <c r="E181" s="25"/>
      <c r="F181" s="25"/>
      <c r="G181" s="23"/>
      <c r="H181" s="23"/>
      <c r="I181" s="23"/>
      <c r="J181" s="23"/>
      <c r="K181" s="8"/>
      <c r="L181" s="7"/>
      <c r="M181" s="7"/>
      <c r="N181" s="7"/>
      <c r="O181" s="7"/>
      <c r="P181" s="7"/>
      <c r="Q181" s="7"/>
      <c r="R181" s="7"/>
      <c r="S181" s="7"/>
      <c r="T181" s="7"/>
      <c r="U181" s="5"/>
      <c r="V181" s="5"/>
      <c r="W181" s="5"/>
      <c r="X181" s="5"/>
      <c r="Y181" s="5"/>
      <c r="Z181" s="5"/>
    </row>
    <row r="182" spans="1:26" ht="13.5" customHeight="1">
      <c r="A182" s="7"/>
      <c r="B182" s="23"/>
      <c r="C182" s="24"/>
      <c r="D182" s="23"/>
      <c r="E182" s="25"/>
      <c r="F182" s="25"/>
      <c r="G182" s="23"/>
      <c r="H182" s="23"/>
      <c r="I182" s="23"/>
      <c r="J182" s="23"/>
      <c r="K182" s="8"/>
      <c r="L182" s="7"/>
      <c r="M182" s="7"/>
      <c r="N182" s="7"/>
      <c r="O182" s="7"/>
      <c r="P182" s="7"/>
      <c r="Q182" s="7"/>
      <c r="R182" s="7"/>
      <c r="S182" s="7"/>
      <c r="T182" s="7"/>
      <c r="U182" s="5"/>
      <c r="V182" s="5"/>
      <c r="W182" s="5"/>
      <c r="X182" s="5"/>
      <c r="Y182" s="5"/>
      <c r="Z182" s="5"/>
    </row>
    <row r="183" spans="1:26" ht="13.5" customHeight="1">
      <c r="A183" s="7"/>
      <c r="B183" s="23"/>
      <c r="C183" s="24"/>
      <c r="D183" s="23"/>
      <c r="E183" s="25"/>
      <c r="F183" s="25"/>
      <c r="G183" s="23"/>
      <c r="H183" s="23"/>
      <c r="I183" s="23"/>
      <c r="J183" s="23"/>
      <c r="K183" s="8"/>
      <c r="L183" s="7"/>
      <c r="M183" s="7"/>
      <c r="N183" s="7"/>
      <c r="O183" s="7"/>
      <c r="P183" s="7"/>
      <c r="Q183" s="7"/>
      <c r="R183" s="7"/>
      <c r="S183" s="7"/>
      <c r="T183" s="7"/>
      <c r="U183" s="5"/>
      <c r="V183" s="5"/>
      <c r="W183" s="5"/>
      <c r="X183" s="5"/>
      <c r="Y183" s="5"/>
      <c r="Z183" s="5"/>
    </row>
    <row r="184" spans="1:26" ht="13.5" customHeight="1">
      <c r="A184" s="7"/>
      <c r="B184" s="23"/>
      <c r="C184" s="24"/>
      <c r="D184" s="23"/>
      <c r="E184" s="25"/>
      <c r="F184" s="25"/>
      <c r="G184" s="23"/>
      <c r="H184" s="23"/>
      <c r="I184" s="23"/>
      <c r="J184" s="23"/>
      <c r="K184" s="8"/>
      <c r="L184" s="7"/>
      <c r="M184" s="7"/>
      <c r="N184" s="7"/>
      <c r="O184" s="7"/>
      <c r="P184" s="7"/>
      <c r="Q184" s="7"/>
      <c r="R184" s="7"/>
      <c r="S184" s="7"/>
      <c r="T184" s="7"/>
      <c r="U184" s="5"/>
      <c r="V184" s="5"/>
      <c r="W184" s="5"/>
      <c r="X184" s="5"/>
      <c r="Y184" s="5"/>
      <c r="Z184" s="5"/>
    </row>
    <row r="185" spans="1:26" ht="13.5" customHeight="1">
      <c r="A185" s="7"/>
      <c r="B185" s="23"/>
      <c r="C185" s="24"/>
      <c r="D185" s="23"/>
      <c r="E185" s="25"/>
      <c r="F185" s="25"/>
      <c r="G185" s="23"/>
      <c r="H185" s="23"/>
      <c r="I185" s="23"/>
      <c r="J185" s="23"/>
      <c r="K185" s="8"/>
      <c r="L185" s="7"/>
      <c r="M185" s="7"/>
      <c r="N185" s="7"/>
      <c r="O185" s="7"/>
      <c r="P185" s="7"/>
      <c r="Q185" s="7"/>
      <c r="R185" s="7"/>
      <c r="S185" s="7"/>
      <c r="T185" s="7"/>
      <c r="U185" s="5"/>
      <c r="V185" s="5"/>
      <c r="W185" s="5"/>
      <c r="X185" s="5"/>
      <c r="Y185" s="5"/>
      <c r="Z185" s="5"/>
    </row>
    <row r="186" spans="1:26" ht="13.5" customHeight="1">
      <c r="A186" s="7"/>
      <c r="B186" s="23"/>
      <c r="C186" s="24"/>
      <c r="D186" s="23"/>
      <c r="E186" s="25"/>
      <c r="F186" s="25"/>
      <c r="G186" s="23"/>
      <c r="H186" s="23"/>
      <c r="I186" s="23"/>
      <c r="J186" s="23"/>
      <c r="K186" s="8"/>
      <c r="L186" s="7"/>
      <c r="M186" s="7"/>
      <c r="N186" s="7"/>
      <c r="O186" s="7"/>
      <c r="P186" s="7"/>
      <c r="Q186" s="7"/>
      <c r="R186" s="7"/>
      <c r="S186" s="7"/>
      <c r="T186" s="7"/>
      <c r="U186" s="5"/>
      <c r="V186" s="5"/>
      <c r="W186" s="5"/>
      <c r="X186" s="5"/>
      <c r="Y186" s="5"/>
      <c r="Z186" s="5"/>
    </row>
    <row r="187" spans="1:26" ht="13.5" customHeight="1">
      <c r="A187" s="7"/>
      <c r="B187" s="23"/>
      <c r="C187" s="24"/>
      <c r="D187" s="23"/>
      <c r="E187" s="25"/>
      <c r="F187" s="25"/>
      <c r="G187" s="23"/>
      <c r="H187" s="23"/>
      <c r="I187" s="23"/>
      <c r="J187" s="23"/>
      <c r="K187" s="8"/>
      <c r="L187" s="7"/>
      <c r="M187" s="7"/>
      <c r="N187" s="7"/>
      <c r="O187" s="7"/>
      <c r="P187" s="7"/>
      <c r="Q187" s="7"/>
      <c r="R187" s="7"/>
      <c r="S187" s="7"/>
      <c r="T187" s="7"/>
      <c r="U187" s="5"/>
      <c r="V187" s="5"/>
      <c r="W187" s="5"/>
      <c r="X187" s="5"/>
      <c r="Y187" s="5"/>
      <c r="Z187" s="5"/>
    </row>
    <row r="188" spans="1:26" ht="13.5" customHeight="1">
      <c r="A188" s="7"/>
      <c r="B188" s="23"/>
      <c r="C188" s="24"/>
      <c r="D188" s="23"/>
      <c r="E188" s="25"/>
      <c r="F188" s="25"/>
      <c r="G188" s="23"/>
      <c r="H188" s="23"/>
      <c r="I188" s="23"/>
      <c r="J188" s="23"/>
      <c r="K188" s="8"/>
      <c r="L188" s="7"/>
      <c r="M188" s="7"/>
      <c r="N188" s="7"/>
      <c r="O188" s="7"/>
      <c r="P188" s="7"/>
      <c r="Q188" s="7"/>
      <c r="R188" s="7"/>
      <c r="S188" s="7"/>
      <c r="T188" s="7"/>
      <c r="U188" s="5"/>
      <c r="V188" s="5"/>
      <c r="W188" s="5"/>
      <c r="X188" s="5"/>
      <c r="Y188" s="5"/>
      <c r="Z188" s="5"/>
    </row>
    <row r="189" spans="1:26" ht="13.5" customHeight="1">
      <c r="A189" s="7"/>
      <c r="B189" s="23"/>
      <c r="C189" s="24"/>
      <c r="D189" s="23"/>
      <c r="E189" s="25"/>
      <c r="F189" s="25"/>
      <c r="G189" s="23"/>
      <c r="H189" s="23"/>
      <c r="I189" s="23"/>
      <c r="J189" s="23"/>
      <c r="K189" s="8"/>
      <c r="L189" s="7"/>
      <c r="M189" s="7"/>
      <c r="N189" s="7"/>
      <c r="O189" s="7"/>
      <c r="P189" s="7"/>
      <c r="Q189" s="7"/>
      <c r="R189" s="7"/>
      <c r="S189" s="7"/>
      <c r="T189" s="7"/>
      <c r="U189" s="5"/>
      <c r="V189" s="5"/>
      <c r="W189" s="5"/>
      <c r="X189" s="5"/>
      <c r="Y189" s="5"/>
      <c r="Z189" s="5"/>
    </row>
    <row r="190" spans="1:26" ht="13.5" customHeight="1">
      <c r="A190" s="7"/>
      <c r="B190" s="23"/>
      <c r="C190" s="24"/>
      <c r="D190" s="23"/>
      <c r="E190" s="25"/>
      <c r="F190" s="25"/>
      <c r="G190" s="23"/>
      <c r="H190" s="23"/>
      <c r="I190" s="23"/>
      <c r="J190" s="23"/>
      <c r="K190" s="8"/>
      <c r="L190" s="7"/>
      <c r="M190" s="7"/>
      <c r="N190" s="7"/>
      <c r="O190" s="7"/>
      <c r="P190" s="7"/>
      <c r="Q190" s="7"/>
      <c r="R190" s="7"/>
      <c r="S190" s="7"/>
      <c r="T190" s="7"/>
      <c r="U190" s="5"/>
      <c r="V190" s="5"/>
      <c r="W190" s="5"/>
      <c r="X190" s="5"/>
      <c r="Y190" s="5"/>
      <c r="Z190" s="5"/>
    </row>
    <row r="191" spans="1:26" ht="13.5" customHeight="1">
      <c r="A191" s="7"/>
      <c r="B191" s="23"/>
      <c r="C191" s="24"/>
      <c r="D191" s="23"/>
      <c r="E191" s="25"/>
      <c r="F191" s="25"/>
      <c r="G191" s="23"/>
      <c r="H191" s="23"/>
      <c r="I191" s="23"/>
      <c r="J191" s="23"/>
      <c r="K191" s="8"/>
      <c r="L191" s="7"/>
      <c r="M191" s="7"/>
      <c r="N191" s="7"/>
      <c r="O191" s="7"/>
      <c r="P191" s="7"/>
      <c r="Q191" s="7"/>
      <c r="R191" s="7"/>
      <c r="S191" s="7"/>
      <c r="T191" s="7"/>
      <c r="U191" s="5"/>
      <c r="V191" s="5"/>
      <c r="W191" s="5"/>
      <c r="X191" s="5"/>
      <c r="Y191" s="5"/>
      <c r="Z191" s="5"/>
    </row>
    <row r="192" spans="1:26" ht="13.5" customHeight="1">
      <c r="A192" s="7"/>
      <c r="B192" s="23"/>
      <c r="C192" s="24"/>
      <c r="D192" s="23"/>
      <c r="E192" s="25"/>
      <c r="F192" s="25"/>
      <c r="G192" s="23"/>
      <c r="H192" s="23"/>
      <c r="I192" s="23"/>
      <c r="J192" s="23"/>
      <c r="K192" s="8"/>
      <c r="L192" s="7"/>
      <c r="M192" s="7"/>
      <c r="N192" s="7"/>
      <c r="O192" s="7"/>
      <c r="P192" s="7"/>
      <c r="Q192" s="7"/>
      <c r="R192" s="7"/>
      <c r="S192" s="7"/>
      <c r="T192" s="7"/>
      <c r="U192" s="5"/>
      <c r="V192" s="5"/>
      <c r="W192" s="5"/>
      <c r="X192" s="5"/>
      <c r="Y192" s="5"/>
      <c r="Z192" s="5"/>
    </row>
    <row r="193" spans="1:26" ht="13.5" customHeight="1">
      <c r="A193" s="7"/>
      <c r="B193" s="23"/>
      <c r="C193" s="24"/>
      <c r="D193" s="23"/>
      <c r="E193" s="25"/>
      <c r="F193" s="25"/>
      <c r="G193" s="23"/>
      <c r="H193" s="23"/>
      <c r="I193" s="23"/>
      <c r="J193" s="23"/>
      <c r="K193" s="8"/>
      <c r="L193" s="7"/>
      <c r="M193" s="7"/>
      <c r="N193" s="7"/>
      <c r="O193" s="7"/>
      <c r="P193" s="7"/>
      <c r="Q193" s="7"/>
      <c r="R193" s="7"/>
      <c r="S193" s="7"/>
      <c r="T193" s="7"/>
      <c r="U193" s="5"/>
      <c r="V193" s="5"/>
      <c r="W193" s="5"/>
      <c r="X193" s="5"/>
      <c r="Y193" s="5"/>
      <c r="Z193" s="5"/>
    </row>
    <row r="194" spans="1:26" ht="13.5" customHeight="1">
      <c r="A194" s="7"/>
      <c r="B194" s="23"/>
      <c r="C194" s="24"/>
      <c r="D194" s="23"/>
      <c r="E194" s="25"/>
      <c r="F194" s="25"/>
      <c r="G194" s="23"/>
      <c r="H194" s="23"/>
      <c r="I194" s="23"/>
      <c r="J194" s="23"/>
      <c r="K194" s="8"/>
      <c r="L194" s="7"/>
      <c r="M194" s="7"/>
      <c r="N194" s="7"/>
      <c r="O194" s="7"/>
      <c r="P194" s="7"/>
      <c r="Q194" s="7"/>
      <c r="R194" s="7"/>
      <c r="S194" s="7"/>
      <c r="T194" s="7"/>
      <c r="U194" s="5"/>
      <c r="V194" s="5"/>
      <c r="W194" s="5"/>
      <c r="X194" s="5"/>
      <c r="Y194" s="5"/>
      <c r="Z194" s="5"/>
    </row>
    <row r="195" spans="1:26" ht="13.5" customHeight="1">
      <c r="A195" s="7"/>
      <c r="B195" s="23"/>
      <c r="C195" s="24"/>
      <c r="D195" s="23"/>
      <c r="E195" s="25"/>
      <c r="F195" s="25"/>
      <c r="G195" s="23"/>
      <c r="H195" s="23"/>
      <c r="I195" s="23"/>
      <c r="J195" s="23"/>
      <c r="K195" s="8"/>
      <c r="L195" s="7"/>
      <c r="M195" s="7"/>
      <c r="N195" s="7"/>
      <c r="O195" s="7"/>
      <c r="P195" s="7"/>
      <c r="Q195" s="7"/>
      <c r="R195" s="7"/>
      <c r="S195" s="7"/>
      <c r="T195" s="7"/>
      <c r="U195" s="5"/>
      <c r="V195" s="5"/>
      <c r="W195" s="5"/>
      <c r="X195" s="5"/>
      <c r="Y195" s="5"/>
      <c r="Z195" s="5"/>
    </row>
    <row r="196" spans="1:26" ht="13.5" customHeight="1">
      <c r="A196" s="7"/>
      <c r="B196" s="23"/>
      <c r="C196" s="24"/>
      <c r="D196" s="23"/>
      <c r="E196" s="25"/>
      <c r="F196" s="25"/>
      <c r="G196" s="23"/>
      <c r="H196" s="23"/>
      <c r="I196" s="23"/>
      <c r="J196" s="23"/>
      <c r="K196" s="8"/>
      <c r="L196" s="7"/>
      <c r="M196" s="7"/>
      <c r="N196" s="7"/>
      <c r="O196" s="7"/>
      <c r="P196" s="7"/>
      <c r="Q196" s="7"/>
      <c r="R196" s="7"/>
      <c r="S196" s="7"/>
      <c r="T196" s="7"/>
      <c r="U196" s="5"/>
      <c r="V196" s="5"/>
      <c r="W196" s="5"/>
      <c r="X196" s="5"/>
      <c r="Y196" s="5"/>
      <c r="Z196" s="5"/>
    </row>
    <row r="197" spans="1:26" ht="13.5" customHeight="1">
      <c r="A197" s="7"/>
      <c r="B197" s="23"/>
      <c r="C197" s="24"/>
      <c r="D197" s="23"/>
      <c r="E197" s="25"/>
      <c r="F197" s="25"/>
      <c r="G197" s="23"/>
      <c r="H197" s="23"/>
      <c r="I197" s="23"/>
      <c r="J197" s="23"/>
      <c r="K197" s="8"/>
      <c r="L197" s="7"/>
      <c r="M197" s="7"/>
      <c r="N197" s="7"/>
      <c r="O197" s="7"/>
      <c r="P197" s="7"/>
      <c r="Q197" s="7"/>
      <c r="R197" s="7"/>
      <c r="S197" s="7"/>
      <c r="T197" s="7"/>
      <c r="U197" s="5"/>
      <c r="V197" s="5"/>
      <c r="W197" s="5"/>
      <c r="X197" s="5"/>
      <c r="Y197" s="5"/>
      <c r="Z197" s="5"/>
    </row>
    <row r="198" spans="1:26" ht="13.5" customHeight="1">
      <c r="A198" s="7"/>
      <c r="B198" s="23"/>
      <c r="C198" s="24"/>
      <c r="D198" s="23"/>
      <c r="E198" s="25"/>
      <c r="F198" s="25"/>
      <c r="G198" s="23"/>
      <c r="H198" s="23"/>
      <c r="I198" s="23"/>
      <c r="J198" s="23"/>
      <c r="K198" s="8"/>
      <c r="L198" s="7"/>
      <c r="M198" s="7"/>
      <c r="N198" s="7"/>
      <c r="O198" s="7"/>
      <c r="P198" s="7"/>
      <c r="Q198" s="7"/>
      <c r="R198" s="7"/>
      <c r="S198" s="7"/>
      <c r="T198" s="7"/>
      <c r="U198" s="5"/>
      <c r="V198" s="5"/>
      <c r="W198" s="5"/>
      <c r="X198" s="5"/>
      <c r="Y198" s="5"/>
      <c r="Z198" s="5"/>
    </row>
    <row r="199" spans="1:26" ht="13.5" customHeight="1">
      <c r="A199" s="7"/>
      <c r="B199" s="23"/>
      <c r="C199" s="24"/>
      <c r="D199" s="23"/>
      <c r="E199" s="25"/>
      <c r="F199" s="25"/>
      <c r="G199" s="23"/>
      <c r="H199" s="23"/>
      <c r="I199" s="23"/>
      <c r="J199" s="23"/>
      <c r="K199" s="8"/>
      <c r="L199" s="7"/>
      <c r="M199" s="7"/>
      <c r="N199" s="7"/>
      <c r="O199" s="7"/>
      <c r="P199" s="7"/>
      <c r="Q199" s="7"/>
      <c r="R199" s="7"/>
      <c r="S199" s="7"/>
      <c r="T199" s="7"/>
      <c r="U199" s="5"/>
      <c r="V199" s="5"/>
      <c r="W199" s="5"/>
      <c r="X199" s="5"/>
      <c r="Y199" s="5"/>
      <c r="Z199" s="5"/>
    </row>
    <row r="200" spans="1:26" ht="13.5" customHeight="1">
      <c r="A200" s="7"/>
      <c r="B200" s="23"/>
      <c r="C200" s="24"/>
      <c r="D200" s="23"/>
      <c r="E200" s="25"/>
      <c r="F200" s="25"/>
      <c r="G200" s="23"/>
      <c r="H200" s="23"/>
      <c r="I200" s="23"/>
      <c r="J200" s="23"/>
      <c r="K200" s="8"/>
      <c r="L200" s="7"/>
      <c r="M200" s="7"/>
      <c r="N200" s="7"/>
      <c r="O200" s="7"/>
      <c r="P200" s="7"/>
      <c r="Q200" s="7"/>
      <c r="R200" s="7"/>
      <c r="S200" s="7"/>
      <c r="T200" s="7"/>
      <c r="U200" s="5"/>
      <c r="V200" s="5"/>
      <c r="W200" s="5"/>
      <c r="X200" s="5"/>
      <c r="Y200" s="5"/>
      <c r="Z200" s="5"/>
    </row>
    <row r="201" spans="1:26" ht="13.5" customHeight="1">
      <c r="A201" s="7"/>
      <c r="B201" s="23"/>
      <c r="C201" s="24"/>
      <c r="D201" s="23"/>
      <c r="E201" s="25"/>
      <c r="F201" s="25"/>
      <c r="G201" s="23"/>
      <c r="H201" s="23"/>
      <c r="I201" s="23"/>
      <c r="J201" s="23"/>
      <c r="K201" s="8"/>
      <c r="L201" s="7"/>
      <c r="M201" s="7"/>
      <c r="N201" s="7"/>
      <c r="O201" s="7"/>
      <c r="P201" s="7"/>
      <c r="Q201" s="7"/>
      <c r="R201" s="7"/>
      <c r="S201" s="7"/>
      <c r="T201" s="7"/>
      <c r="U201" s="5"/>
      <c r="V201" s="5"/>
      <c r="W201" s="5"/>
      <c r="X201" s="5"/>
      <c r="Y201" s="5"/>
      <c r="Z201" s="5"/>
    </row>
    <row r="202" spans="1:26" ht="13.5" customHeight="1">
      <c r="A202" s="7"/>
      <c r="B202" s="23"/>
      <c r="C202" s="24"/>
      <c r="D202" s="23"/>
      <c r="E202" s="25"/>
      <c r="F202" s="25"/>
      <c r="G202" s="23"/>
      <c r="H202" s="23"/>
      <c r="I202" s="23"/>
      <c r="J202" s="23"/>
      <c r="K202" s="8"/>
      <c r="L202" s="7"/>
      <c r="M202" s="7"/>
      <c r="N202" s="7"/>
      <c r="O202" s="7"/>
      <c r="P202" s="7"/>
      <c r="Q202" s="7"/>
      <c r="R202" s="7"/>
      <c r="S202" s="7"/>
      <c r="T202" s="7"/>
      <c r="U202" s="5"/>
      <c r="V202" s="5"/>
      <c r="W202" s="5"/>
      <c r="X202" s="5"/>
      <c r="Y202" s="5"/>
      <c r="Z202" s="5"/>
    </row>
    <row r="203" spans="1:26" ht="13.5" customHeight="1">
      <c r="A203" s="7"/>
      <c r="B203" s="23"/>
      <c r="C203" s="24"/>
      <c r="D203" s="23"/>
      <c r="E203" s="25"/>
      <c r="F203" s="25"/>
      <c r="G203" s="23"/>
      <c r="H203" s="23"/>
      <c r="I203" s="23"/>
      <c r="J203" s="23"/>
      <c r="K203" s="8"/>
      <c r="L203" s="7"/>
      <c r="M203" s="7"/>
      <c r="N203" s="7"/>
      <c r="O203" s="7"/>
      <c r="P203" s="7"/>
      <c r="Q203" s="7"/>
      <c r="R203" s="7"/>
      <c r="S203" s="7"/>
      <c r="T203" s="7"/>
      <c r="U203" s="5"/>
      <c r="V203" s="5"/>
      <c r="W203" s="5"/>
      <c r="X203" s="5"/>
      <c r="Y203" s="5"/>
      <c r="Z203" s="5"/>
    </row>
    <row r="204" spans="1:26" ht="13.5" customHeight="1">
      <c r="A204" s="7"/>
      <c r="B204" s="23"/>
      <c r="C204" s="24"/>
      <c r="D204" s="23"/>
      <c r="E204" s="25"/>
      <c r="F204" s="25"/>
      <c r="G204" s="23"/>
      <c r="H204" s="23"/>
      <c r="I204" s="23"/>
      <c r="J204" s="23"/>
      <c r="K204" s="8"/>
      <c r="L204" s="7"/>
      <c r="M204" s="7"/>
      <c r="N204" s="7"/>
      <c r="O204" s="7"/>
      <c r="P204" s="7"/>
      <c r="Q204" s="7"/>
      <c r="R204" s="7"/>
      <c r="S204" s="7"/>
      <c r="T204" s="7"/>
      <c r="U204" s="5"/>
      <c r="V204" s="5"/>
      <c r="W204" s="5"/>
      <c r="X204" s="5"/>
      <c r="Y204" s="5"/>
      <c r="Z204" s="5"/>
    </row>
    <row r="205" spans="1:26" ht="13.5" customHeight="1">
      <c r="A205" s="7"/>
      <c r="B205" s="23"/>
      <c r="C205" s="24"/>
      <c r="D205" s="23"/>
      <c r="E205" s="25"/>
      <c r="F205" s="25"/>
      <c r="G205" s="23"/>
      <c r="H205" s="23"/>
      <c r="I205" s="23"/>
      <c r="J205" s="23"/>
      <c r="K205" s="8"/>
      <c r="L205" s="7"/>
      <c r="M205" s="7"/>
      <c r="N205" s="7"/>
      <c r="O205" s="7"/>
      <c r="P205" s="7"/>
      <c r="Q205" s="7"/>
      <c r="R205" s="7"/>
      <c r="S205" s="7"/>
      <c r="T205" s="7"/>
      <c r="U205" s="5"/>
      <c r="V205" s="5"/>
      <c r="W205" s="5"/>
      <c r="X205" s="5"/>
      <c r="Y205" s="5"/>
      <c r="Z205" s="5"/>
    </row>
    <row r="206" spans="1:26" ht="13.5" customHeight="1">
      <c r="A206" s="7"/>
      <c r="B206" s="23"/>
      <c r="C206" s="24"/>
      <c r="D206" s="23"/>
      <c r="E206" s="25"/>
      <c r="F206" s="25"/>
      <c r="G206" s="23"/>
      <c r="H206" s="23"/>
      <c r="I206" s="23"/>
      <c r="J206" s="23"/>
      <c r="K206" s="8"/>
      <c r="L206" s="7"/>
      <c r="M206" s="7"/>
      <c r="N206" s="7"/>
      <c r="O206" s="7"/>
      <c r="P206" s="7"/>
      <c r="Q206" s="7"/>
      <c r="R206" s="7"/>
      <c r="S206" s="7"/>
      <c r="T206" s="7"/>
      <c r="U206" s="5"/>
      <c r="V206" s="5"/>
      <c r="W206" s="5"/>
      <c r="X206" s="5"/>
      <c r="Y206" s="5"/>
      <c r="Z206" s="5"/>
    </row>
    <row r="207" spans="1:26" ht="13.5" customHeight="1">
      <c r="A207" s="7"/>
      <c r="B207" s="23"/>
      <c r="C207" s="24"/>
      <c r="D207" s="23"/>
      <c r="E207" s="25"/>
      <c r="F207" s="25"/>
      <c r="G207" s="23"/>
      <c r="H207" s="23"/>
      <c r="I207" s="23"/>
      <c r="J207" s="23"/>
      <c r="K207" s="8"/>
      <c r="L207" s="7"/>
      <c r="M207" s="7"/>
      <c r="N207" s="7"/>
      <c r="O207" s="7"/>
      <c r="P207" s="7"/>
      <c r="Q207" s="7"/>
      <c r="R207" s="7"/>
      <c r="S207" s="7"/>
      <c r="T207" s="7"/>
      <c r="U207" s="5"/>
      <c r="V207" s="5"/>
      <c r="W207" s="5"/>
      <c r="X207" s="5"/>
      <c r="Y207" s="5"/>
      <c r="Z207" s="5"/>
    </row>
    <row r="208" spans="1:26" ht="13.5" customHeight="1">
      <c r="A208" s="7"/>
      <c r="B208" s="23"/>
      <c r="C208" s="24"/>
      <c r="D208" s="23"/>
      <c r="E208" s="25"/>
      <c r="F208" s="25"/>
      <c r="G208" s="23"/>
      <c r="H208" s="23"/>
      <c r="I208" s="23"/>
      <c r="J208" s="23"/>
      <c r="K208" s="8"/>
      <c r="L208" s="7"/>
      <c r="M208" s="7"/>
      <c r="N208" s="7"/>
      <c r="O208" s="7"/>
      <c r="P208" s="7"/>
      <c r="Q208" s="7"/>
      <c r="R208" s="7"/>
      <c r="S208" s="7"/>
      <c r="T208" s="7"/>
      <c r="U208" s="5"/>
      <c r="V208" s="5"/>
      <c r="W208" s="5"/>
      <c r="X208" s="5"/>
      <c r="Y208" s="5"/>
      <c r="Z208" s="5"/>
    </row>
    <row r="209" spans="1:26" ht="13.5" customHeight="1">
      <c r="A209" s="7"/>
      <c r="B209" s="23"/>
      <c r="C209" s="24"/>
      <c r="D209" s="23"/>
      <c r="E209" s="25"/>
      <c r="F209" s="25"/>
      <c r="G209" s="23"/>
      <c r="H209" s="23"/>
      <c r="I209" s="23"/>
      <c r="J209" s="23"/>
      <c r="K209" s="8"/>
      <c r="L209" s="7"/>
      <c r="M209" s="7"/>
      <c r="N209" s="7"/>
      <c r="O209" s="7"/>
      <c r="P209" s="7"/>
      <c r="Q209" s="7"/>
      <c r="R209" s="7"/>
      <c r="S209" s="7"/>
      <c r="T209" s="7"/>
      <c r="U209" s="5"/>
      <c r="V209" s="5"/>
      <c r="W209" s="5"/>
      <c r="X209" s="5"/>
      <c r="Y209" s="5"/>
      <c r="Z209" s="5"/>
    </row>
    <row r="210" spans="1:26" ht="13.5" customHeight="1">
      <c r="A210" s="7"/>
      <c r="B210" s="23"/>
      <c r="C210" s="24"/>
      <c r="D210" s="23"/>
      <c r="E210" s="25"/>
      <c r="F210" s="25"/>
      <c r="G210" s="23"/>
      <c r="H210" s="23"/>
      <c r="I210" s="23"/>
      <c r="J210" s="23"/>
      <c r="K210" s="8"/>
      <c r="L210" s="7"/>
      <c r="M210" s="7"/>
      <c r="N210" s="7"/>
      <c r="O210" s="7"/>
      <c r="P210" s="7"/>
      <c r="Q210" s="7"/>
      <c r="R210" s="7"/>
      <c r="S210" s="7"/>
      <c r="T210" s="7"/>
      <c r="U210" s="5"/>
      <c r="V210" s="5"/>
      <c r="W210" s="5"/>
      <c r="X210" s="5"/>
      <c r="Y210" s="5"/>
      <c r="Z210" s="5"/>
    </row>
    <row r="211" spans="1:26" ht="13.5" customHeight="1">
      <c r="A211" s="7"/>
      <c r="B211" s="23"/>
      <c r="C211" s="24"/>
      <c r="D211" s="23"/>
      <c r="E211" s="25"/>
      <c r="F211" s="25"/>
      <c r="G211" s="23"/>
      <c r="H211" s="23"/>
      <c r="I211" s="23"/>
      <c r="J211" s="23"/>
      <c r="K211" s="8"/>
      <c r="L211" s="7"/>
      <c r="M211" s="7"/>
      <c r="N211" s="7"/>
      <c r="O211" s="7"/>
      <c r="P211" s="7"/>
      <c r="Q211" s="7"/>
      <c r="R211" s="7"/>
      <c r="S211" s="7"/>
      <c r="T211" s="7"/>
      <c r="U211" s="5"/>
      <c r="V211" s="5"/>
      <c r="W211" s="5"/>
      <c r="X211" s="5"/>
      <c r="Y211" s="5"/>
      <c r="Z211" s="5"/>
    </row>
    <row r="212" spans="1:26" ht="13.5" customHeight="1">
      <c r="A212" s="7"/>
      <c r="B212" s="23"/>
      <c r="C212" s="24"/>
      <c r="D212" s="23"/>
      <c r="E212" s="25"/>
      <c r="F212" s="25"/>
      <c r="G212" s="23"/>
      <c r="H212" s="23"/>
      <c r="I212" s="23"/>
      <c r="J212" s="23"/>
      <c r="K212" s="8"/>
      <c r="L212" s="7"/>
      <c r="M212" s="7"/>
      <c r="N212" s="7"/>
      <c r="O212" s="7"/>
      <c r="P212" s="7"/>
      <c r="Q212" s="7"/>
      <c r="R212" s="7"/>
      <c r="S212" s="7"/>
      <c r="T212" s="7"/>
      <c r="U212" s="5"/>
      <c r="V212" s="5"/>
      <c r="W212" s="5"/>
      <c r="X212" s="5"/>
      <c r="Y212" s="5"/>
      <c r="Z212" s="5"/>
    </row>
    <row r="213" spans="1:26" ht="13.5" customHeight="1">
      <c r="A213" s="7"/>
      <c r="B213" s="23"/>
      <c r="C213" s="24"/>
      <c r="D213" s="23"/>
      <c r="E213" s="25"/>
      <c r="F213" s="25"/>
      <c r="G213" s="23"/>
      <c r="H213" s="23"/>
      <c r="I213" s="23"/>
      <c r="J213" s="23"/>
      <c r="K213" s="8"/>
      <c r="L213" s="7"/>
      <c r="M213" s="7"/>
      <c r="N213" s="7"/>
      <c r="O213" s="7"/>
      <c r="P213" s="7"/>
      <c r="Q213" s="7"/>
      <c r="R213" s="7"/>
      <c r="S213" s="7"/>
      <c r="T213" s="7"/>
      <c r="U213" s="5"/>
      <c r="V213" s="5"/>
      <c r="W213" s="5"/>
      <c r="X213" s="5"/>
      <c r="Y213" s="5"/>
      <c r="Z213" s="5"/>
    </row>
    <row r="214" spans="1:26" ht="13.5" customHeight="1">
      <c r="A214" s="7"/>
      <c r="B214" s="23"/>
      <c r="C214" s="24"/>
      <c r="D214" s="23"/>
      <c r="E214" s="25"/>
      <c r="F214" s="25"/>
      <c r="G214" s="23"/>
      <c r="H214" s="23"/>
      <c r="I214" s="23"/>
      <c r="J214" s="23"/>
      <c r="K214" s="8"/>
      <c r="L214" s="7"/>
      <c r="M214" s="7"/>
      <c r="N214" s="7"/>
      <c r="O214" s="7"/>
      <c r="P214" s="7"/>
      <c r="Q214" s="7"/>
      <c r="R214" s="7"/>
      <c r="S214" s="7"/>
      <c r="T214" s="7"/>
      <c r="U214" s="5"/>
      <c r="V214" s="5"/>
      <c r="W214" s="5"/>
      <c r="X214" s="5"/>
      <c r="Y214" s="5"/>
      <c r="Z214" s="5"/>
    </row>
    <row r="215" spans="1:26" ht="13.5" customHeight="1">
      <c r="A215" s="7"/>
      <c r="B215" s="23"/>
      <c r="C215" s="24"/>
      <c r="D215" s="23"/>
      <c r="E215" s="25"/>
      <c r="F215" s="25"/>
      <c r="G215" s="23"/>
      <c r="H215" s="23"/>
      <c r="I215" s="23"/>
      <c r="J215" s="23"/>
      <c r="K215" s="8"/>
      <c r="L215" s="7"/>
      <c r="M215" s="7"/>
      <c r="N215" s="7"/>
      <c r="O215" s="7"/>
      <c r="P215" s="7"/>
      <c r="Q215" s="7"/>
      <c r="R215" s="7"/>
      <c r="S215" s="7"/>
      <c r="T215" s="7"/>
      <c r="U215" s="5"/>
      <c r="V215" s="5"/>
      <c r="W215" s="5"/>
      <c r="X215" s="5"/>
      <c r="Y215" s="5"/>
      <c r="Z215" s="5"/>
    </row>
    <row r="216" spans="1:26" ht="13.5" customHeight="1">
      <c r="A216" s="7"/>
      <c r="B216" s="23"/>
      <c r="C216" s="24"/>
      <c r="D216" s="23"/>
      <c r="E216" s="25"/>
      <c r="F216" s="25"/>
      <c r="G216" s="23"/>
      <c r="H216" s="23"/>
      <c r="I216" s="23"/>
      <c r="J216" s="23"/>
      <c r="K216" s="8"/>
      <c r="L216" s="7"/>
      <c r="M216" s="7"/>
      <c r="N216" s="7"/>
      <c r="O216" s="7"/>
      <c r="P216" s="7"/>
      <c r="Q216" s="7"/>
      <c r="R216" s="7"/>
      <c r="S216" s="7"/>
      <c r="T216" s="7"/>
      <c r="U216" s="5"/>
      <c r="V216" s="5"/>
      <c r="W216" s="5"/>
      <c r="X216" s="5"/>
      <c r="Y216" s="5"/>
      <c r="Z216" s="5"/>
    </row>
    <row r="217" spans="1:26" ht="13.5" customHeight="1">
      <c r="A217" s="7"/>
      <c r="B217" s="23"/>
      <c r="C217" s="24"/>
      <c r="D217" s="23"/>
      <c r="E217" s="25"/>
      <c r="F217" s="25"/>
      <c r="G217" s="23"/>
      <c r="H217" s="23"/>
      <c r="I217" s="23"/>
      <c r="J217" s="23"/>
      <c r="K217" s="8"/>
      <c r="L217" s="7"/>
      <c r="M217" s="7"/>
      <c r="N217" s="7"/>
      <c r="O217" s="7"/>
      <c r="P217" s="7"/>
      <c r="Q217" s="7"/>
      <c r="R217" s="7"/>
      <c r="S217" s="7"/>
      <c r="T217" s="7"/>
      <c r="U217" s="5"/>
      <c r="V217" s="5"/>
      <c r="W217" s="5"/>
      <c r="X217" s="5"/>
      <c r="Y217" s="5"/>
      <c r="Z217" s="5"/>
    </row>
    <row r="218" spans="1:26" ht="13.5" customHeight="1">
      <c r="A218" s="7"/>
      <c r="B218" s="23"/>
      <c r="C218" s="24"/>
      <c r="D218" s="23"/>
      <c r="E218" s="25"/>
      <c r="F218" s="25"/>
      <c r="G218" s="23"/>
      <c r="H218" s="23"/>
      <c r="I218" s="23"/>
      <c r="J218" s="23"/>
      <c r="K218" s="8"/>
      <c r="L218" s="7"/>
      <c r="M218" s="7"/>
      <c r="N218" s="7"/>
      <c r="O218" s="7"/>
      <c r="P218" s="7"/>
      <c r="Q218" s="7"/>
      <c r="R218" s="7"/>
      <c r="S218" s="7"/>
      <c r="T218" s="7"/>
      <c r="U218" s="5"/>
      <c r="V218" s="5"/>
      <c r="W218" s="5"/>
      <c r="X218" s="5"/>
      <c r="Y218" s="5"/>
      <c r="Z218" s="5"/>
    </row>
    <row r="219" spans="1:26" ht="13.5" customHeight="1">
      <c r="A219" s="7"/>
      <c r="B219" s="23"/>
      <c r="C219" s="24"/>
      <c r="D219" s="23"/>
      <c r="E219" s="25"/>
      <c r="F219" s="25"/>
      <c r="G219" s="23"/>
      <c r="H219" s="23"/>
      <c r="I219" s="23"/>
      <c r="J219" s="23"/>
      <c r="K219" s="8"/>
      <c r="L219" s="7"/>
      <c r="M219" s="7"/>
      <c r="N219" s="7"/>
      <c r="O219" s="7"/>
      <c r="P219" s="7"/>
      <c r="Q219" s="7"/>
      <c r="R219" s="7"/>
      <c r="S219" s="7"/>
      <c r="T219" s="7"/>
      <c r="U219" s="5"/>
      <c r="V219" s="5"/>
      <c r="W219" s="5"/>
      <c r="X219" s="5"/>
      <c r="Y219" s="5"/>
      <c r="Z219" s="5"/>
    </row>
    <row r="220" spans="1:26" ht="13.5" customHeight="1">
      <c r="A220" s="7"/>
      <c r="B220" s="23"/>
      <c r="C220" s="24"/>
      <c r="D220" s="23"/>
      <c r="E220" s="25"/>
      <c r="F220" s="25"/>
      <c r="G220" s="23"/>
      <c r="H220" s="23"/>
      <c r="I220" s="23"/>
      <c r="J220" s="23"/>
      <c r="K220" s="8"/>
      <c r="L220" s="7"/>
      <c r="M220" s="7"/>
      <c r="N220" s="7"/>
      <c r="O220" s="7"/>
      <c r="P220" s="7"/>
      <c r="Q220" s="7"/>
      <c r="R220" s="7"/>
      <c r="S220" s="7"/>
      <c r="T220" s="7"/>
      <c r="U220" s="5"/>
      <c r="V220" s="5"/>
      <c r="W220" s="5"/>
      <c r="X220" s="5"/>
      <c r="Y220" s="5"/>
      <c r="Z220" s="5"/>
    </row>
    <row r="221" spans="1:26" ht="13.5" customHeight="1">
      <c r="A221" s="7"/>
      <c r="B221" s="23"/>
      <c r="C221" s="24"/>
      <c r="D221" s="23"/>
      <c r="E221" s="25"/>
      <c r="F221" s="25"/>
      <c r="G221" s="23"/>
      <c r="H221" s="23"/>
      <c r="I221" s="23"/>
      <c r="J221" s="23"/>
      <c r="K221" s="8"/>
      <c r="L221" s="7"/>
      <c r="M221" s="7"/>
      <c r="N221" s="7"/>
      <c r="O221" s="7"/>
      <c r="P221" s="7"/>
      <c r="Q221" s="7"/>
      <c r="R221" s="7"/>
      <c r="S221" s="7"/>
      <c r="T221" s="7"/>
      <c r="U221" s="5"/>
      <c r="V221" s="5"/>
      <c r="W221" s="5"/>
      <c r="X221" s="5"/>
      <c r="Y221" s="5"/>
      <c r="Z221" s="5"/>
    </row>
    <row r="222" spans="1:26" ht="13.5" customHeight="1">
      <c r="A222" s="7"/>
      <c r="B222" s="23"/>
      <c r="C222" s="24"/>
      <c r="D222" s="23"/>
      <c r="E222" s="25"/>
      <c r="F222" s="25"/>
      <c r="G222" s="23"/>
      <c r="H222" s="23"/>
      <c r="I222" s="23"/>
      <c r="J222" s="23"/>
      <c r="K222" s="8"/>
      <c r="L222" s="7"/>
      <c r="M222" s="7"/>
      <c r="N222" s="7"/>
      <c r="O222" s="7"/>
      <c r="P222" s="7"/>
      <c r="Q222" s="7"/>
      <c r="R222" s="7"/>
      <c r="S222" s="7"/>
      <c r="T222" s="7"/>
      <c r="U222" s="5"/>
      <c r="V222" s="5"/>
      <c r="W222" s="5"/>
      <c r="X222" s="5"/>
      <c r="Y222" s="5"/>
      <c r="Z222" s="5"/>
    </row>
    <row r="223" spans="1:26" ht="13.5" customHeight="1">
      <c r="A223" s="7"/>
      <c r="B223" s="23"/>
      <c r="C223" s="24"/>
      <c r="D223" s="23"/>
      <c r="E223" s="25"/>
      <c r="F223" s="25"/>
      <c r="G223" s="23"/>
      <c r="H223" s="23"/>
      <c r="I223" s="23"/>
      <c r="J223" s="23"/>
      <c r="K223" s="8"/>
      <c r="L223" s="7"/>
      <c r="M223" s="7"/>
      <c r="N223" s="7"/>
      <c r="O223" s="7"/>
      <c r="P223" s="7"/>
      <c r="Q223" s="7"/>
      <c r="R223" s="7"/>
      <c r="S223" s="7"/>
      <c r="T223" s="7"/>
      <c r="U223" s="5"/>
      <c r="V223" s="5"/>
      <c r="W223" s="5"/>
      <c r="X223" s="5"/>
      <c r="Y223" s="5"/>
      <c r="Z223" s="5"/>
    </row>
    <row r="224" spans="1:26" ht="13.5" customHeight="1">
      <c r="A224" s="7"/>
      <c r="B224" s="23"/>
      <c r="C224" s="24"/>
      <c r="D224" s="23"/>
      <c r="E224" s="25"/>
      <c r="F224" s="25"/>
      <c r="G224" s="23"/>
      <c r="H224" s="23"/>
      <c r="I224" s="23"/>
      <c r="J224" s="23"/>
      <c r="K224" s="8"/>
      <c r="L224" s="7"/>
      <c r="M224" s="7"/>
      <c r="N224" s="7"/>
      <c r="O224" s="7"/>
      <c r="P224" s="7"/>
      <c r="Q224" s="7"/>
      <c r="R224" s="7"/>
      <c r="S224" s="7"/>
      <c r="T224" s="7"/>
      <c r="U224" s="5"/>
      <c r="V224" s="5"/>
      <c r="W224" s="5"/>
      <c r="X224" s="5"/>
      <c r="Y224" s="5"/>
      <c r="Z224" s="5"/>
    </row>
    <row r="225" spans="1:26" ht="13.5" customHeight="1">
      <c r="A225" s="7"/>
      <c r="B225" s="23"/>
      <c r="C225" s="24"/>
      <c r="D225" s="23"/>
      <c r="E225" s="25"/>
      <c r="F225" s="25"/>
      <c r="G225" s="23"/>
      <c r="H225" s="23"/>
      <c r="I225" s="23"/>
      <c r="J225" s="23"/>
      <c r="K225" s="8"/>
      <c r="L225" s="7"/>
      <c r="M225" s="7"/>
      <c r="N225" s="7"/>
      <c r="O225" s="7"/>
      <c r="P225" s="7"/>
      <c r="Q225" s="7"/>
      <c r="R225" s="7"/>
      <c r="S225" s="7"/>
      <c r="T225" s="7"/>
      <c r="U225" s="5"/>
      <c r="V225" s="5"/>
      <c r="W225" s="5"/>
      <c r="X225" s="5"/>
      <c r="Y225" s="5"/>
      <c r="Z225" s="5"/>
    </row>
    <row r="226" spans="1:26" ht="13.5" customHeight="1">
      <c r="A226" s="7"/>
      <c r="B226" s="23"/>
      <c r="C226" s="24"/>
      <c r="D226" s="23"/>
      <c r="E226" s="25"/>
      <c r="F226" s="25"/>
      <c r="G226" s="23"/>
      <c r="H226" s="23"/>
      <c r="I226" s="23"/>
      <c r="J226" s="23"/>
      <c r="K226" s="8"/>
      <c r="L226" s="7"/>
      <c r="M226" s="7"/>
      <c r="N226" s="7"/>
      <c r="O226" s="7"/>
      <c r="P226" s="7"/>
      <c r="Q226" s="7"/>
      <c r="R226" s="7"/>
      <c r="S226" s="7"/>
      <c r="T226" s="7"/>
      <c r="U226" s="5"/>
      <c r="V226" s="5"/>
      <c r="W226" s="5"/>
      <c r="X226" s="5"/>
      <c r="Y226" s="5"/>
      <c r="Z226" s="5"/>
    </row>
    <row r="227" spans="1:26" ht="13.5" customHeight="1">
      <c r="A227" s="7"/>
      <c r="B227" s="23"/>
      <c r="C227" s="24"/>
      <c r="D227" s="23"/>
      <c r="E227" s="25"/>
      <c r="F227" s="25"/>
      <c r="G227" s="23"/>
      <c r="H227" s="23"/>
      <c r="I227" s="23"/>
      <c r="J227" s="23"/>
      <c r="K227" s="8"/>
      <c r="L227" s="7"/>
      <c r="M227" s="7"/>
      <c r="N227" s="7"/>
      <c r="O227" s="7"/>
      <c r="P227" s="7"/>
      <c r="Q227" s="7"/>
      <c r="R227" s="7"/>
      <c r="S227" s="7"/>
      <c r="T227" s="7"/>
      <c r="U227" s="5"/>
      <c r="V227" s="5"/>
      <c r="W227" s="5"/>
      <c r="X227" s="5"/>
      <c r="Y227" s="5"/>
      <c r="Z227" s="5"/>
    </row>
    <row r="228" spans="1:26" ht="13.5" customHeight="1">
      <c r="A228" s="7"/>
      <c r="B228" s="23"/>
      <c r="C228" s="24"/>
      <c r="D228" s="23"/>
      <c r="E228" s="25"/>
      <c r="F228" s="25"/>
      <c r="G228" s="23"/>
      <c r="H228" s="23"/>
      <c r="I228" s="23"/>
      <c r="J228" s="23"/>
      <c r="K228" s="8"/>
      <c r="L228" s="7"/>
      <c r="M228" s="7"/>
      <c r="N228" s="7"/>
      <c r="O228" s="7"/>
      <c r="P228" s="7"/>
      <c r="Q228" s="7"/>
      <c r="R228" s="7"/>
      <c r="S228" s="7"/>
      <c r="T228" s="7"/>
      <c r="U228" s="5"/>
      <c r="V228" s="5"/>
      <c r="W228" s="5"/>
      <c r="X228" s="5"/>
      <c r="Y228" s="5"/>
      <c r="Z228" s="5"/>
    </row>
    <row r="229" spans="1:26" ht="13.5" customHeight="1">
      <c r="A229" s="7"/>
      <c r="B229" s="23"/>
      <c r="C229" s="24"/>
      <c r="D229" s="23"/>
      <c r="E229" s="25"/>
      <c r="F229" s="25"/>
      <c r="G229" s="23"/>
      <c r="H229" s="23"/>
      <c r="I229" s="23"/>
      <c r="J229" s="23"/>
      <c r="K229" s="8"/>
      <c r="L229" s="7"/>
      <c r="M229" s="7"/>
      <c r="N229" s="7"/>
      <c r="O229" s="7"/>
      <c r="P229" s="7"/>
      <c r="Q229" s="7"/>
      <c r="R229" s="7"/>
      <c r="S229" s="7"/>
      <c r="T229" s="7"/>
      <c r="U229" s="5"/>
      <c r="V229" s="5"/>
      <c r="W229" s="5"/>
      <c r="X229" s="5"/>
      <c r="Y229" s="5"/>
      <c r="Z229" s="5"/>
    </row>
    <row r="230" spans="1:26" ht="13.5" customHeight="1">
      <c r="A230" s="7"/>
      <c r="B230" s="23"/>
      <c r="C230" s="24"/>
      <c r="D230" s="23"/>
      <c r="E230" s="25"/>
      <c r="F230" s="25"/>
      <c r="G230" s="23"/>
      <c r="H230" s="23"/>
      <c r="I230" s="23"/>
      <c r="J230" s="23"/>
      <c r="K230" s="8"/>
      <c r="L230" s="7"/>
      <c r="M230" s="7"/>
      <c r="N230" s="7"/>
      <c r="O230" s="7"/>
      <c r="P230" s="7"/>
      <c r="Q230" s="7"/>
      <c r="R230" s="7"/>
      <c r="S230" s="7"/>
      <c r="T230" s="7"/>
      <c r="U230" s="5"/>
      <c r="V230" s="5"/>
      <c r="W230" s="5"/>
      <c r="X230" s="5"/>
      <c r="Y230" s="5"/>
      <c r="Z230" s="5"/>
    </row>
    <row r="231" spans="1:26" ht="13.5" customHeight="1">
      <c r="A231" s="7"/>
      <c r="B231" s="23"/>
      <c r="C231" s="24"/>
      <c r="D231" s="23"/>
      <c r="E231" s="25"/>
      <c r="F231" s="25"/>
      <c r="G231" s="23"/>
      <c r="H231" s="23"/>
      <c r="I231" s="23"/>
      <c r="J231" s="23"/>
      <c r="K231" s="8"/>
      <c r="L231" s="7"/>
      <c r="M231" s="7"/>
      <c r="N231" s="7"/>
      <c r="O231" s="7"/>
      <c r="P231" s="7"/>
      <c r="Q231" s="7"/>
      <c r="R231" s="7"/>
      <c r="S231" s="7"/>
      <c r="T231" s="7"/>
      <c r="U231" s="5"/>
      <c r="V231" s="5"/>
      <c r="W231" s="5"/>
      <c r="X231" s="5"/>
      <c r="Y231" s="5"/>
      <c r="Z231" s="5"/>
    </row>
    <row r="232" spans="1:26" ht="13.5" customHeight="1">
      <c r="A232" s="7"/>
      <c r="B232" s="23"/>
      <c r="C232" s="24"/>
      <c r="D232" s="23"/>
      <c r="E232" s="25"/>
      <c r="F232" s="25"/>
      <c r="G232" s="23"/>
      <c r="H232" s="23"/>
      <c r="I232" s="23"/>
      <c r="J232" s="23"/>
      <c r="K232" s="8"/>
      <c r="L232" s="7"/>
      <c r="M232" s="7"/>
      <c r="N232" s="7"/>
      <c r="O232" s="7"/>
      <c r="P232" s="7"/>
      <c r="Q232" s="7"/>
      <c r="R232" s="7"/>
      <c r="S232" s="7"/>
      <c r="T232" s="7"/>
      <c r="U232" s="5"/>
      <c r="V232" s="5"/>
      <c r="W232" s="5"/>
      <c r="X232" s="5"/>
      <c r="Y232" s="5"/>
      <c r="Z232" s="5"/>
    </row>
    <row r="233" spans="1:26" ht="13.5" customHeight="1">
      <c r="A233" s="7"/>
      <c r="B233" s="23"/>
      <c r="C233" s="24"/>
      <c r="D233" s="23"/>
      <c r="E233" s="25"/>
      <c r="F233" s="25"/>
      <c r="G233" s="23"/>
      <c r="H233" s="23"/>
      <c r="I233" s="23"/>
      <c r="J233" s="23"/>
      <c r="K233" s="8"/>
      <c r="L233" s="7"/>
      <c r="M233" s="7"/>
      <c r="N233" s="7"/>
      <c r="O233" s="7"/>
      <c r="P233" s="7"/>
      <c r="Q233" s="7"/>
      <c r="R233" s="7"/>
      <c r="S233" s="7"/>
      <c r="T233" s="7"/>
      <c r="U233" s="5"/>
      <c r="V233" s="5"/>
      <c r="W233" s="5"/>
      <c r="X233" s="5"/>
      <c r="Y233" s="5"/>
      <c r="Z233" s="5"/>
    </row>
    <row r="234" spans="1:26" ht="13.5" customHeight="1">
      <c r="A234" s="7"/>
      <c r="B234" s="23"/>
      <c r="C234" s="24"/>
      <c r="D234" s="23"/>
      <c r="E234" s="25"/>
      <c r="F234" s="25"/>
      <c r="G234" s="23"/>
      <c r="H234" s="23"/>
      <c r="I234" s="23"/>
      <c r="J234" s="23"/>
      <c r="K234" s="8"/>
      <c r="L234" s="7"/>
      <c r="M234" s="7"/>
      <c r="N234" s="7"/>
      <c r="O234" s="7"/>
      <c r="P234" s="7"/>
      <c r="Q234" s="7"/>
      <c r="R234" s="7"/>
      <c r="S234" s="7"/>
      <c r="T234" s="7"/>
      <c r="U234" s="5"/>
      <c r="V234" s="5"/>
      <c r="W234" s="5"/>
      <c r="X234" s="5"/>
      <c r="Y234" s="5"/>
      <c r="Z234" s="5"/>
    </row>
    <row r="235" spans="1:26" ht="13.5" customHeight="1">
      <c r="A235" s="7"/>
      <c r="B235" s="23"/>
      <c r="C235" s="24"/>
      <c r="D235" s="23"/>
      <c r="E235" s="25"/>
      <c r="F235" s="25"/>
      <c r="G235" s="23"/>
      <c r="H235" s="23"/>
      <c r="I235" s="23"/>
      <c r="J235" s="23"/>
      <c r="K235" s="8"/>
      <c r="L235" s="7"/>
      <c r="M235" s="7"/>
      <c r="N235" s="7"/>
      <c r="O235" s="7"/>
      <c r="P235" s="7"/>
      <c r="Q235" s="7"/>
      <c r="R235" s="7"/>
      <c r="S235" s="7"/>
      <c r="T235" s="7"/>
      <c r="U235" s="5"/>
      <c r="V235" s="5"/>
      <c r="W235" s="5"/>
      <c r="X235" s="5"/>
      <c r="Y235" s="5"/>
      <c r="Z235" s="5"/>
    </row>
    <row r="236" spans="1:26" ht="13.5" customHeight="1">
      <c r="A236" s="7"/>
      <c r="B236" s="23"/>
      <c r="C236" s="24"/>
      <c r="D236" s="23"/>
      <c r="E236" s="25"/>
      <c r="F236" s="25"/>
      <c r="G236" s="23"/>
      <c r="H236" s="23"/>
      <c r="I236" s="23"/>
      <c r="J236" s="23"/>
      <c r="K236" s="8"/>
      <c r="L236" s="7"/>
      <c r="M236" s="7"/>
      <c r="N236" s="7"/>
      <c r="O236" s="7"/>
      <c r="P236" s="7"/>
      <c r="Q236" s="7"/>
      <c r="R236" s="7"/>
      <c r="S236" s="7"/>
      <c r="T236" s="7"/>
      <c r="U236" s="5"/>
      <c r="V236" s="5"/>
      <c r="W236" s="5"/>
      <c r="X236" s="5"/>
      <c r="Y236" s="5"/>
      <c r="Z236" s="5"/>
    </row>
    <row r="237" spans="1:26" ht="13.5" customHeight="1">
      <c r="A237" s="7"/>
      <c r="B237" s="23"/>
      <c r="C237" s="24"/>
      <c r="D237" s="23"/>
      <c r="E237" s="25"/>
      <c r="F237" s="25"/>
      <c r="G237" s="23"/>
      <c r="H237" s="23"/>
      <c r="I237" s="23"/>
      <c r="J237" s="23"/>
      <c r="K237" s="8"/>
      <c r="L237" s="7"/>
      <c r="M237" s="7"/>
      <c r="N237" s="7"/>
      <c r="O237" s="7"/>
      <c r="P237" s="7"/>
      <c r="Q237" s="7"/>
      <c r="R237" s="7"/>
      <c r="S237" s="7"/>
      <c r="T237" s="7"/>
      <c r="U237" s="5"/>
      <c r="V237" s="5"/>
      <c r="W237" s="5"/>
      <c r="X237" s="5"/>
      <c r="Y237" s="5"/>
      <c r="Z237" s="5"/>
    </row>
    <row r="238" spans="1:26" ht="13.5" customHeight="1">
      <c r="A238" s="7"/>
      <c r="B238" s="23"/>
      <c r="C238" s="24"/>
      <c r="D238" s="23"/>
      <c r="E238" s="25"/>
      <c r="F238" s="25"/>
      <c r="G238" s="23"/>
      <c r="H238" s="23"/>
      <c r="I238" s="23"/>
      <c r="J238" s="23"/>
      <c r="K238" s="8"/>
      <c r="L238" s="7"/>
      <c r="M238" s="7"/>
      <c r="N238" s="7"/>
      <c r="O238" s="7"/>
      <c r="P238" s="7"/>
      <c r="Q238" s="7"/>
      <c r="R238" s="7"/>
      <c r="S238" s="7"/>
      <c r="T238" s="7"/>
      <c r="U238" s="5"/>
      <c r="V238" s="5"/>
      <c r="W238" s="5"/>
      <c r="X238" s="5"/>
      <c r="Y238" s="5"/>
      <c r="Z238" s="5"/>
    </row>
    <row r="239" spans="1:26" ht="13.5" customHeight="1">
      <c r="A239" s="7"/>
      <c r="B239" s="23"/>
      <c r="C239" s="24"/>
      <c r="D239" s="23"/>
      <c r="E239" s="25"/>
      <c r="F239" s="25"/>
      <c r="G239" s="23"/>
      <c r="H239" s="23"/>
      <c r="I239" s="23"/>
      <c r="J239" s="23"/>
      <c r="K239" s="8"/>
      <c r="L239" s="7"/>
      <c r="M239" s="7"/>
      <c r="N239" s="7"/>
      <c r="O239" s="7"/>
      <c r="P239" s="7"/>
      <c r="Q239" s="7"/>
      <c r="R239" s="7"/>
      <c r="S239" s="7"/>
      <c r="T239" s="7"/>
      <c r="U239" s="5"/>
      <c r="V239" s="5"/>
      <c r="W239" s="5"/>
      <c r="X239" s="5"/>
      <c r="Y239" s="5"/>
      <c r="Z239" s="5"/>
    </row>
    <row r="240" spans="1:26" ht="13.5" customHeight="1">
      <c r="A240" s="7"/>
      <c r="B240" s="23"/>
      <c r="C240" s="24"/>
      <c r="D240" s="23"/>
      <c r="E240" s="25"/>
      <c r="F240" s="25"/>
      <c r="G240" s="23"/>
      <c r="H240" s="23"/>
      <c r="I240" s="23"/>
      <c r="J240" s="23"/>
      <c r="K240" s="8"/>
      <c r="L240" s="7"/>
      <c r="M240" s="7"/>
      <c r="N240" s="7"/>
      <c r="O240" s="7"/>
      <c r="P240" s="7"/>
      <c r="Q240" s="7"/>
      <c r="R240" s="7"/>
      <c r="S240" s="7"/>
      <c r="T240" s="7"/>
      <c r="U240" s="5"/>
      <c r="V240" s="5"/>
      <c r="W240" s="5"/>
      <c r="X240" s="5"/>
      <c r="Y240" s="5"/>
      <c r="Z240" s="5"/>
    </row>
    <row r="241" spans="1:26" ht="13.5" customHeight="1">
      <c r="A241" s="7"/>
      <c r="B241" s="23"/>
      <c r="C241" s="24"/>
      <c r="D241" s="23"/>
      <c r="E241" s="25"/>
      <c r="F241" s="25"/>
      <c r="G241" s="23"/>
      <c r="H241" s="23"/>
      <c r="I241" s="23"/>
      <c r="J241" s="23"/>
      <c r="K241" s="8"/>
      <c r="L241" s="7"/>
      <c r="M241" s="7"/>
      <c r="N241" s="7"/>
      <c r="O241" s="7"/>
      <c r="P241" s="7"/>
      <c r="Q241" s="7"/>
      <c r="R241" s="7"/>
      <c r="S241" s="7"/>
      <c r="T241" s="7"/>
      <c r="U241" s="5"/>
      <c r="V241" s="5"/>
      <c r="W241" s="5"/>
      <c r="X241" s="5"/>
      <c r="Y241" s="5"/>
      <c r="Z241" s="5"/>
    </row>
    <row r="242" spans="1:26" ht="13.5" customHeight="1">
      <c r="A242" s="7"/>
      <c r="B242" s="23"/>
      <c r="C242" s="24"/>
      <c r="D242" s="23"/>
      <c r="E242" s="25"/>
      <c r="F242" s="25"/>
      <c r="G242" s="23"/>
      <c r="H242" s="23"/>
      <c r="I242" s="23"/>
      <c r="J242" s="23"/>
      <c r="K242" s="8"/>
      <c r="L242" s="7"/>
      <c r="M242" s="7"/>
      <c r="N242" s="7"/>
      <c r="O242" s="7"/>
      <c r="P242" s="7"/>
      <c r="Q242" s="7"/>
      <c r="R242" s="7"/>
      <c r="S242" s="7"/>
      <c r="T242" s="7"/>
      <c r="U242" s="5"/>
      <c r="V242" s="5"/>
      <c r="W242" s="5"/>
      <c r="X242" s="5"/>
      <c r="Y242" s="5"/>
      <c r="Z242" s="5"/>
    </row>
    <row r="243" spans="1:26" ht="13.5" customHeight="1">
      <c r="A243" s="7"/>
      <c r="B243" s="23"/>
      <c r="C243" s="24"/>
      <c r="D243" s="23"/>
      <c r="E243" s="25"/>
      <c r="F243" s="25"/>
      <c r="G243" s="23"/>
      <c r="H243" s="23"/>
      <c r="I243" s="23"/>
      <c r="J243" s="23"/>
      <c r="K243" s="8"/>
      <c r="L243" s="7"/>
      <c r="M243" s="7"/>
      <c r="N243" s="7"/>
      <c r="O243" s="7"/>
      <c r="P243" s="7"/>
      <c r="Q243" s="7"/>
      <c r="R243" s="7"/>
      <c r="S243" s="7"/>
      <c r="T243" s="7"/>
      <c r="U243" s="5"/>
      <c r="V243" s="5"/>
      <c r="W243" s="5"/>
      <c r="X243" s="5"/>
      <c r="Y243" s="5"/>
      <c r="Z243" s="5"/>
    </row>
    <row r="244" spans="1:26" ht="13.5" customHeight="1">
      <c r="A244" s="7"/>
      <c r="B244" s="23"/>
      <c r="C244" s="24"/>
      <c r="D244" s="23"/>
      <c r="E244" s="25"/>
      <c r="F244" s="25"/>
      <c r="G244" s="23"/>
      <c r="H244" s="23"/>
      <c r="I244" s="23"/>
      <c r="J244" s="23"/>
      <c r="K244" s="8"/>
      <c r="L244" s="7"/>
      <c r="M244" s="7"/>
      <c r="N244" s="7"/>
      <c r="O244" s="7"/>
      <c r="P244" s="7"/>
      <c r="Q244" s="7"/>
      <c r="R244" s="7"/>
      <c r="S244" s="7"/>
      <c r="T244" s="7"/>
      <c r="U244" s="5"/>
      <c r="V244" s="5"/>
      <c r="W244" s="5"/>
      <c r="X244" s="5"/>
      <c r="Y244" s="5"/>
      <c r="Z244" s="5"/>
    </row>
    <row r="245" spans="1:26" ht="13.5" customHeight="1">
      <c r="A245" s="7"/>
      <c r="B245" s="23"/>
      <c r="C245" s="24"/>
      <c r="D245" s="23"/>
      <c r="E245" s="25"/>
      <c r="F245" s="25"/>
      <c r="G245" s="23"/>
      <c r="H245" s="23"/>
      <c r="I245" s="23"/>
      <c r="J245" s="23"/>
      <c r="K245" s="8"/>
      <c r="L245" s="7"/>
      <c r="M245" s="7"/>
      <c r="N245" s="7"/>
      <c r="O245" s="7"/>
      <c r="P245" s="7"/>
      <c r="Q245" s="7"/>
      <c r="R245" s="7"/>
      <c r="S245" s="7"/>
      <c r="T245" s="7"/>
      <c r="U245" s="5"/>
      <c r="V245" s="5"/>
      <c r="W245" s="5"/>
      <c r="X245" s="5"/>
      <c r="Y245" s="5"/>
      <c r="Z245" s="5"/>
    </row>
    <row r="246" spans="1:26" ht="13.5" customHeight="1">
      <c r="A246" s="7"/>
      <c r="B246" s="23"/>
      <c r="C246" s="24"/>
      <c r="D246" s="23"/>
      <c r="E246" s="25"/>
      <c r="F246" s="25"/>
      <c r="G246" s="23"/>
      <c r="H246" s="23"/>
      <c r="I246" s="23"/>
      <c r="J246" s="23"/>
      <c r="K246" s="8"/>
      <c r="L246" s="7"/>
      <c r="M246" s="7"/>
      <c r="N246" s="7"/>
      <c r="O246" s="7"/>
      <c r="P246" s="7"/>
      <c r="Q246" s="7"/>
      <c r="R246" s="7"/>
      <c r="S246" s="7"/>
      <c r="T246" s="7"/>
      <c r="U246" s="5"/>
      <c r="V246" s="5"/>
      <c r="W246" s="5"/>
      <c r="X246" s="5"/>
      <c r="Y246" s="5"/>
      <c r="Z246" s="5"/>
    </row>
    <row r="247" spans="1:26" ht="13.5" customHeight="1">
      <c r="A247" s="7"/>
      <c r="B247" s="23"/>
      <c r="C247" s="24"/>
      <c r="D247" s="23"/>
      <c r="E247" s="25"/>
      <c r="F247" s="25"/>
      <c r="G247" s="23"/>
      <c r="H247" s="23"/>
      <c r="I247" s="23"/>
      <c r="J247" s="23"/>
      <c r="K247" s="8"/>
      <c r="L247" s="7"/>
      <c r="M247" s="7"/>
      <c r="N247" s="7"/>
      <c r="O247" s="7"/>
      <c r="P247" s="7"/>
      <c r="Q247" s="7"/>
      <c r="R247" s="7"/>
      <c r="S247" s="7"/>
      <c r="T247" s="7"/>
      <c r="U247" s="5"/>
      <c r="V247" s="5"/>
      <c r="W247" s="5"/>
      <c r="X247" s="5"/>
      <c r="Y247" s="5"/>
      <c r="Z247" s="5"/>
    </row>
    <row r="248" spans="1:26" ht="13.5" customHeight="1">
      <c r="A248" s="7"/>
      <c r="B248" s="23"/>
      <c r="C248" s="24"/>
      <c r="D248" s="23"/>
      <c r="E248" s="25"/>
      <c r="F248" s="25"/>
      <c r="G248" s="23"/>
      <c r="H248" s="23"/>
      <c r="I248" s="23"/>
      <c r="J248" s="23"/>
      <c r="K248" s="8"/>
      <c r="L248" s="7"/>
      <c r="M248" s="7"/>
      <c r="N248" s="7"/>
      <c r="O248" s="7"/>
      <c r="P248" s="7"/>
      <c r="Q248" s="7"/>
      <c r="R248" s="7"/>
      <c r="S248" s="7"/>
      <c r="T248" s="7"/>
      <c r="U248" s="5"/>
      <c r="V248" s="5"/>
      <c r="W248" s="5"/>
      <c r="X248" s="5"/>
      <c r="Y248" s="5"/>
      <c r="Z248" s="5"/>
    </row>
    <row r="249" spans="1:26" ht="13.5" customHeight="1">
      <c r="A249" s="7"/>
      <c r="B249" s="23"/>
      <c r="C249" s="24"/>
      <c r="D249" s="23"/>
      <c r="E249" s="25"/>
      <c r="F249" s="25"/>
      <c r="G249" s="23"/>
      <c r="H249" s="23"/>
      <c r="I249" s="23"/>
      <c r="J249" s="23"/>
      <c r="K249" s="8"/>
      <c r="L249" s="7"/>
      <c r="M249" s="7"/>
      <c r="N249" s="7"/>
      <c r="O249" s="7"/>
      <c r="P249" s="7"/>
      <c r="Q249" s="7"/>
      <c r="R249" s="7"/>
      <c r="S249" s="7"/>
      <c r="T249" s="7"/>
      <c r="U249" s="5"/>
      <c r="V249" s="5"/>
      <c r="W249" s="5"/>
      <c r="X249" s="5"/>
      <c r="Y249" s="5"/>
      <c r="Z249" s="5"/>
    </row>
    <row r="250" spans="1:26" ht="13.5" customHeight="1">
      <c r="A250" s="7"/>
      <c r="B250" s="23"/>
      <c r="C250" s="24"/>
      <c r="D250" s="23"/>
      <c r="E250" s="25"/>
      <c r="F250" s="25"/>
      <c r="G250" s="23"/>
      <c r="H250" s="23"/>
      <c r="I250" s="23"/>
      <c r="J250" s="23"/>
      <c r="K250" s="8"/>
      <c r="L250" s="7"/>
      <c r="M250" s="7"/>
      <c r="N250" s="7"/>
      <c r="O250" s="7"/>
      <c r="P250" s="7"/>
      <c r="Q250" s="7"/>
      <c r="R250" s="7"/>
      <c r="S250" s="7"/>
      <c r="T250" s="7"/>
      <c r="U250" s="5"/>
      <c r="V250" s="5"/>
      <c r="W250" s="5"/>
      <c r="X250" s="5"/>
      <c r="Y250" s="5"/>
      <c r="Z250" s="5"/>
    </row>
    <row r="251" spans="1:26" ht="13.5" customHeight="1">
      <c r="A251" s="7"/>
      <c r="B251" s="23"/>
      <c r="C251" s="24"/>
      <c r="D251" s="23"/>
      <c r="E251" s="25"/>
      <c r="F251" s="25"/>
      <c r="G251" s="23"/>
      <c r="H251" s="23"/>
      <c r="I251" s="23"/>
      <c r="J251" s="23"/>
      <c r="K251" s="8"/>
      <c r="L251" s="7"/>
      <c r="M251" s="7"/>
      <c r="N251" s="7"/>
      <c r="O251" s="7"/>
      <c r="P251" s="7"/>
      <c r="Q251" s="7"/>
      <c r="R251" s="7"/>
      <c r="S251" s="7"/>
      <c r="T251" s="7"/>
      <c r="U251" s="5"/>
      <c r="V251" s="5"/>
      <c r="W251" s="5"/>
      <c r="X251" s="5"/>
      <c r="Y251" s="5"/>
      <c r="Z251" s="5"/>
    </row>
    <row r="252" spans="1:26" ht="13.5" customHeight="1">
      <c r="A252" s="7"/>
      <c r="B252" s="23"/>
      <c r="C252" s="24"/>
      <c r="D252" s="23"/>
      <c r="E252" s="25"/>
      <c r="F252" s="25"/>
      <c r="G252" s="23"/>
      <c r="H252" s="23"/>
      <c r="I252" s="23"/>
      <c r="J252" s="23"/>
      <c r="K252" s="8"/>
      <c r="L252" s="7"/>
      <c r="M252" s="7"/>
      <c r="N252" s="7"/>
      <c r="O252" s="7"/>
      <c r="P252" s="7"/>
      <c r="Q252" s="7"/>
      <c r="R252" s="7"/>
      <c r="S252" s="7"/>
      <c r="T252" s="7"/>
      <c r="U252" s="5"/>
      <c r="V252" s="5"/>
      <c r="W252" s="5"/>
      <c r="X252" s="5"/>
      <c r="Y252" s="5"/>
      <c r="Z252" s="5"/>
    </row>
    <row r="253" spans="1:26" ht="13.5" customHeight="1">
      <c r="A253" s="7"/>
      <c r="B253" s="23"/>
      <c r="C253" s="24"/>
      <c r="D253" s="23"/>
      <c r="E253" s="25"/>
      <c r="F253" s="25"/>
      <c r="G253" s="23"/>
      <c r="H253" s="23"/>
      <c r="I253" s="23"/>
      <c r="J253" s="23"/>
      <c r="K253" s="8"/>
      <c r="L253" s="7"/>
      <c r="M253" s="7"/>
      <c r="N253" s="7"/>
      <c r="O253" s="7"/>
      <c r="P253" s="7"/>
      <c r="Q253" s="7"/>
      <c r="R253" s="7"/>
      <c r="S253" s="7"/>
      <c r="T253" s="7"/>
      <c r="U253" s="5"/>
      <c r="V253" s="5"/>
      <c r="W253" s="5"/>
      <c r="X253" s="5"/>
      <c r="Y253" s="5"/>
      <c r="Z253" s="5"/>
    </row>
    <row r="254" spans="1:26" ht="13.5" customHeight="1">
      <c r="A254" s="7"/>
      <c r="B254" s="23"/>
      <c r="C254" s="24"/>
      <c r="D254" s="23"/>
      <c r="E254" s="25"/>
      <c r="F254" s="25"/>
      <c r="G254" s="23"/>
      <c r="H254" s="23"/>
      <c r="I254" s="23"/>
      <c r="J254" s="23"/>
      <c r="K254" s="8"/>
      <c r="L254" s="7"/>
      <c r="M254" s="7"/>
      <c r="N254" s="7"/>
      <c r="O254" s="7"/>
      <c r="P254" s="7"/>
      <c r="Q254" s="7"/>
      <c r="R254" s="7"/>
      <c r="S254" s="7"/>
      <c r="T254" s="7"/>
      <c r="U254" s="5"/>
      <c r="V254" s="5"/>
      <c r="W254" s="5"/>
      <c r="X254" s="5"/>
      <c r="Y254" s="5"/>
      <c r="Z254" s="5"/>
    </row>
    <row r="255" spans="1:26" ht="13.5" customHeight="1">
      <c r="A255" s="7"/>
      <c r="B255" s="23"/>
      <c r="C255" s="24"/>
      <c r="D255" s="23"/>
      <c r="E255" s="25"/>
      <c r="F255" s="25"/>
      <c r="G255" s="23"/>
      <c r="H255" s="23"/>
      <c r="I255" s="23"/>
      <c r="J255" s="23"/>
      <c r="K255" s="8"/>
      <c r="L255" s="7"/>
      <c r="M255" s="7"/>
      <c r="N255" s="7"/>
      <c r="O255" s="7"/>
      <c r="P255" s="7"/>
      <c r="Q255" s="7"/>
      <c r="R255" s="7"/>
      <c r="S255" s="7"/>
      <c r="T255" s="7"/>
      <c r="U255" s="5"/>
      <c r="V255" s="5"/>
      <c r="W255" s="5"/>
      <c r="X255" s="5"/>
      <c r="Y255" s="5"/>
      <c r="Z255" s="5"/>
    </row>
    <row r="256" spans="1:26" ht="13.5" customHeight="1">
      <c r="A256" s="7"/>
      <c r="B256" s="23"/>
      <c r="C256" s="24"/>
      <c r="D256" s="23"/>
      <c r="E256" s="25"/>
      <c r="F256" s="25"/>
      <c r="G256" s="23"/>
      <c r="H256" s="23"/>
      <c r="I256" s="23"/>
      <c r="J256" s="23"/>
      <c r="K256" s="8"/>
      <c r="L256" s="7"/>
      <c r="M256" s="7"/>
      <c r="N256" s="7"/>
      <c r="O256" s="7"/>
      <c r="P256" s="7"/>
      <c r="Q256" s="7"/>
      <c r="R256" s="7"/>
      <c r="S256" s="7"/>
      <c r="T256" s="7"/>
      <c r="U256" s="5"/>
      <c r="V256" s="5"/>
      <c r="W256" s="5"/>
      <c r="X256" s="5"/>
      <c r="Y256" s="5"/>
      <c r="Z256" s="5"/>
    </row>
    <row r="257" spans="1:26" ht="13.5" customHeight="1">
      <c r="A257" s="7"/>
      <c r="B257" s="23"/>
      <c r="C257" s="24"/>
      <c r="D257" s="23"/>
      <c r="E257" s="25"/>
      <c r="F257" s="25"/>
      <c r="G257" s="23"/>
      <c r="H257" s="23"/>
      <c r="I257" s="23"/>
      <c r="J257" s="23"/>
      <c r="K257" s="8"/>
      <c r="L257" s="7"/>
      <c r="M257" s="7"/>
      <c r="N257" s="7"/>
      <c r="O257" s="7"/>
      <c r="P257" s="7"/>
      <c r="Q257" s="7"/>
      <c r="R257" s="7"/>
      <c r="S257" s="7"/>
      <c r="T257" s="7"/>
      <c r="U257" s="5"/>
      <c r="V257" s="5"/>
      <c r="W257" s="5"/>
      <c r="X257" s="5"/>
      <c r="Y257" s="5"/>
      <c r="Z257" s="5"/>
    </row>
    <row r="258" spans="1:26" ht="13.5" customHeight="1">
      <c r="A258" s="7"/>
      <c r="B258" s="23"/>
      <c r="C258" s="24"/>
      <c r="D258" s="23"/>
      <c r="E258" s="25"/>
      <c r="F258" s="25"/>
      <c r="G258" s="23"/>
      <c r="H258" s="23"/>
      <c r="I258" s="23"/>
      <c r="J258" s="23"/>
      <c r="K258" s="8"/>
      <c r="L258" s="7"/>
      <c r="M258" s="7"/>
      <c r="N258" s="7"/>
      <c r="O258" s="7"/>
      <c r="P258" s="7"/>
      <c r="Q258" s="7"/>
      <c r="R258" s="7"/>
      <c r="S258" s="7"/>
      <c r="T258" s="7"/>
      <c r="U258" s="5"/>
      <c r="V258" s="5"/>
      <c r="W258" s="5"/>
      <c r="X258" s="5"/>
      <c r="Y258" s="5"/>
      <c r="Z258" s="5"/>
    </row>
    <row r="259" spans="1:26" ht="13.5" customHeight="1">
      <c r="A259" s="7"/>
      <c r="B259" s="23"/>
      <c r="C259" s="24"/>
      <c r="D259" s="23"/>
      <c r="E259" s="25"/>
      <c r="F259" s="25"/>
      <c r="G259" s="23"/>
      <c r="H259" s="23"/>
      <c r="I259" s="23"/>
      <c r="J259" s="23"/>
      <c r="K259" s="8"/>
      <c r="L259" s="7"/>
      <c r="M259" s="7"/>
      <c r="N259" s="7"/>
      <c r="O259" s="7"/>
      <c r="P259" s="7"/>
      <c r="Q259" s="7"/>
      <c r="R259" s="7"/>
      <c r="S259" s="7"/>
      <c r="T259" s="7"/>
      <c r="U259" s="5"/>
      <c r="V259" s="5"/>
      <c r="W259" s="5"/>
      <c r="X259" s="5"/>
      <c r="Y259" s="5"/>
      <c r="Z259" s="5"/>
    </row>
    <row r="260" spans="1:26" ht="13.5" customHeight="1">
      <c r="A260" s="7"/>
      <c r="B260" s="23"/>
      <c r="C260" s="24"/>
      <c r="D260" s="23"/>
      <c r="E260" s="25"/>
      <c r="F260" s="25"/>
      <c r="G260" s="23"/>
      <c r="H260" s="23"/>
      <c r="I260" s="23"/>
      <c r="J260" s="23"/>
      <c r="K260" s="8"/>
      <c r="L260" s="7"/>
      <c r="M260" s="7"/>
      <c r="N260" s="7"/>
      <c r="O260" s="7"/>
      <c r="P260" s="7"/>
      <c r="Q260" s="7"/>
      <c r="R260" s="7"/>
      <c r="S260" s="7"/>
      <c r="T260" s="7"/>
      <c r="U260" s="5"/>
      <c r="V260" s="5"/>
      <c r="W260" s="5"/>
      <c r="X260" s="5"/>
      <c r="Y260" s="5"/>
      <c r="Z260" s="5"/>
    </row>
    <row r="261" spans="1:26" ht="13.5" customHeight="1">
      <c r="A261" s="7"/>
      <c r="B261" s="23"/>
      <c r="C261" s="24"/>
      <c r="D261" s="23"/>
      <c r="E261" s="25"/>
      <c r="F261" s="25"/>
      <c r="G261" s="23"/>
      <c r="H261" s="23"/>
      <c r="I261" s="23"/>
      <c r="J261" s="23"/>
      <c r="K261" s="8"/>
      <c r="L261" s="7"/>
      <c r="M261" s="7"/>
      <c r="N261" s="7"/>
      <c r="O261" s="7"/>
      <c r="P261" s="7"/>
      <c r="Q261" s="7"/>
      <c r="R261" s="7"/>
      <c r="S261" s="7"/>
      <c r="T261" s="7"/>
      <c r="U261" s="5"/>
      <c r="V261" s="5"/>
      <c r="W261" s="5"/>
      <c r="X261" s="5"/>
      <c r="Y261" s="5"/>
      <c r="Z261" s="5"/>
    </row>
    <row r="262" spans="1:26" ht="13.5" customHeight="1">
      <c r="A262" s="7"/>
      <c r="B262" s="23"/>
      <c r="C262" s="24"/>
      <c r="D262" s="23"/>
      <c r="E262" s="25"/>
      <c r="F262" s="25"/>
      <c r="G262" s="23"/>
      <c r="H262" s="23"/>
      <c r="I262" s="23"/>
      <c r="J262" s="23"/>
      <c r="K262" s="8"/>
      <c r="L262" s="7"/>
      <c r="M262" s="7"/>
      <c r="N262" s="7"/>
      <c r="O262" s="7"/>
      <c r="P262" s="7"/>
      <c r="Q262" s="7"/>
      <c r="R262" s="7"/>
      <c r="S262" s="7"/>
      <c r="T262" s="7"/>
      <c r="U262" s="5"/>
      <c r="V262" s="5"/>
      <c r="W262" s="5"/>
      <c r="X262" s="5"/>
      <c r="Y262" s="5"/>
      <c r="Z262" s="5"/>
    </row>
    <row r="263" spans="1:26" ht="13.5" customHeight="1">
      <c r="A263" s="7"/>
      <c r="B263" s="23"/>
      <c r="C263" s="24"/>
      <c r="D263" s="23"/>
      <c r="E263" s="25"/>
      <c r="F263" s="25"/>
      <c r="G263" s="23"/>
      <c r="H263" s="23"/>
      <c r="I263" s="23"/>
      <c r="J263" s="23"/>
      <c r="K263" s="8"/>
      <c r="L263" s="7"/>
      <c r="M263" s="7"/>
      <c r="N263" s="7"/>
      <c r="O263" s="7"/>
      <c r="P263" s="7"/>
      <c r="Q263" s="7"/>
      <c r="R263" s="7"/>
      <c r="S263" s="7"/>
      <c r="T263" s="7"/>
      <c r="U263" s="5"/>
      <c r="V263" s="5"/>
      <c r="W263" s="5"/>
      <c r="X263" s="5"/>
      <c r="Y263" s="5"/>
      <c r="Z263" s="5"/>
    </row>
    <row r="264" spans="1:26" ht="13.5" customHeight="1">
      <c r="A264" s="7"/>
      <c r="B264" s="23"/>
      <c r="C264" s="24"/>
      <c r="D264" s="23"/>
      <c r="E264" s="25"/>
      <c r="F264" s="25"/>
      <c r="G264" s="23"/>
      <c r="H264" s="23"/>
      <c r="I264" s="23"/>
      <c r="J264" s="23"/>
      <c r="K264" s="8"/>
      <c r="L264" s="7"/>
      <c r="M264" s="7"/>
      <c r="N264" s="7"/>
      <c r="O264" s="7"/>
      <c r="P264" s="7"/>
      <c r="Q264" s="7"/>
      <c r="R264" s="7"/>
      <c r="S264" s="7"/>
      <c r="T264" s="7"/>
      <c r="U264" s="5"/>
      <c r="V264" s="5"/>
      <c r="W264" s="5"/>
      <c r="X264" s="5"/>
      <c r="Y264" s="5"/>
      <c r="Z264" s="5"/>
    </row>
    <row r="265" spans="1:26" ht="13.5" customHeight="1">
      <c r="A265" s="7"/>
      <c r="B265" s="23"/>
      <c r="C265" s="24"/>
      <c r="D265" s="23"/>
      <c r="E265" s="25"/>
      <c r="F265" s="25"/>
      <c r="G265" s="23"/>
      <c r="H265" s="23"/>
      <c r="I265" s="23"/>
      <c r="J265" s="23"/>
      <c r="K265" s="8"/>
      <c r="L265" s="7"/>
      <c r="M265" s="7"/>
      <c r="N265" s="7"/>
      <c r="O265" s="7"/>
      <c r="P265" s="7"/>
      <c r="Q265" s="7"/>
      <c r="R265" s="7"/>
      <c r="S265" s="7"/>
      <c r="T265" s="7"/>
      <c r="U265" s="5"/>
      <c r="V265" s="5"/>
      <c r="W265" s="5"/>
      <c r="X265" s="5"/>
      <c r="Y265" s="5"/>
      <c r="Z265" s="5"/>
    </row>
    <row r="266" spans="1:26" ht="13.5" customHeight="1">
      <c r="A266" s="7"/>
      <c r="B266" s="23"/>
      <c r="C266" s="24"/>
      <c r="D266" s="23"/>
      <c r="E266" s="25"/>
      <c r="F266" s="25"/>
      <c r="G266" s="23"/>
      <c r="H266" s="23"/>
      <c r="I266" s="23"/>
      <c r="J266" s="23"/>
      <c r="K266" s="8"/>
      <c r="L266" s="7"/>
      <c r="M266" s="7"/>
      <c r="N266" s="7"/>
      <c r="O266" s="7"/>
      <c r="P266" s="7"/>
      <c r="Q266" s="7"/>
      <c r="R266" s="7"/>
      <c r="S266" s="7"/>
      <c r="T266" s="7"/>
      <c r="U266" s="5"/>
      <c r="V266" s="5"/>
      <c r="W266" s="5"/>
      <c r="X266" s="5"/>
      <c r="Y266" s="5"/>
      <c r="Z266" s="5"/>
    </row>
    <row r="267" spans="1:26" ht="13.5" customHeight="1">
      <c r="A267" s="7"/>
      <c r="B267" s="23"/>
      <c r="C267" s="24"/>
      <c r="D267" s="23"/>
      <c r="E267" s="25"/>
      <c r="F267" s="25"/>
      <c r="G267" s="23"/>
      <c r="H267" s="23"/>
      <c r="I267" s="23"/>
      <c r="J267" s="23"/>
      <c r="K267" s="8"/>
      <c r="L267" s="7"/>
      <c r="M267" s="7"/>
      <c r="N267" s="7"/>
      <c r="O267" s="7"/>
      <c r="P267" s="7"/>
      <c r="Q267" s="7"/>
      <c r="R267" s="7"/>
      <c r="S267" s="7"/>
      <c r="T267" s="7"/>
      <c r="U267" s="5"/>
      <c r="V267" s="5"/>
      <c r="W267" s="5"/>
      <c r="X267" s="5"/>
      <c r="Y267" s="5"/>
      <c r="Z267" s="5"/>
    </row>
    <row r="268" spans="1:26" ht="13.5" customHeight="1">
      <c r="A268" s="7"/>
      <c r="B268" s="23"/>
      <c r="C268" s="24"/>
      <c r="D268" s="23"/>
      <c r="E268" s="25"/>
      <c r="F268" s="25"/>
      <c r="G268" s="23"/>
      <c r="H268" s="23"/>
      <c r="I268" s="23"/>
      <c r="J268" s="23"/>
      <c r="K268" s="8"/>
      <c r="L268" s="7"/>
      <c r="M268" s="7"/>
      <c r="N268" s="7"/>
      <c r="O268" s="7"/>
      <c r="P268" s="7"/>
      <c r="Q268" s="7"/>
      <c r="R268" s="7"/>
      <c r="S268" s="7"/>
      <c r="T268" s="7"/>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5.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5.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5.7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5.7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5.7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5.7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sheetData>
  <mergeCells count="133">
    <mergeCell ref="C11:F11"/>
    <mergeCell ref="G11:H11"/>
    <mergeCell ref="J11:J15"/>
    <mergeCell ref="C12:F12"/>
    <mergeCell ref="G12:H12"/>
    <mergeCell ref="C19:F19"/>
    <mergeCell ref="G19:H19"/>
    <mergeCell ref="C20:F20"/>
    <mergeCell ref="G20:H20"/>
    <mergeCell ref="C15:F15"/>
    <mergeCell ref="G15:H15"/>
    <mergeCell ref="C16:F16"/>
    <mergeCell ref="G16:H16"/>
    <mergeCell ref="J16:J20"/>
    <mergeCell ref="C17:F17"/>
    <mergeCell ref="G17:H17"/>
    <mergeCell ref="B4:B5"/>
    <mergeCell ref="B6:B10"/>
    <mergeCell ref="B11:B15"/>
    <mergeCell ref="B16:B20"/>
    <mergeCell ref="B23:B24"/>
    <mergeCell ref="B25:B29"/>
    <mergeCell ref="B1:J1"/>
    <mergeCell ref="B3:J3"/>
    <mergeCell ref="C4:F5"/>
    <mergeCell ref="G4:H5"/>
    <mergeCell ref="I4:I5"/>
    <mergeCell ref="J4:J5"/>
    <mergeCell ref="C13:F13"/>
    <mergeCell ref="G13:H13"/>
    <mergeCell ref="C14:F14"/>
    <mergeCell ref="G14:H14"/>
    <mergeCell ref="C27:F27"/>
    <mergeCell ref="C28:F28"/>
    <mergeCell ref="C18:F18"/>
    <mergeCell ref="G18:H18"/>
    <mergeCell ref="B21:I21"/>
    <mergeCell ref="B22:J22"/>
    <mergeCell ref="G23:H24"/>
    <mergeCell ref="I23:I24"/>
    <mergeCell ref="L4:N4"/>
    <mergeCell ref="C9:F9"/>
    <mergeCell ref="G9:H9"/>
    <mergeCell ref="C6:F6"/>
    <mergeCell ref="G6:H6"/>
    <mergeCell ref="J6:J10"/>
    <mergeCell ref="C7:F7"/>
    <mergeCell ref="G7:H7"/>
    <mergeCell ref="C8:F8"/>
    <mergeCell ref="G8:H8"/>
    <mergeCell ref="C10:F10"/>
    <mergeCell ref="G10:H10"/>
    <mergeCell ref="J23:J24"/>
    <mergeCell ref="C23:F24"/>
    <mergeCell ref="C25:F25"/>
    <mergeCell ref="G25:H25"/>
    <mergeCell ref="J25:J29"/>
    <mergeCell ref="C26:F26"/>
    <mergeCell ref="G26:H26"/>
    <mergeCell ref="G27:H27"/>
    <mergeCell ref="C31:F31"/>
    <mergeCell ref="G31:H31"/>
    <mergeCell ref="J30:J34"/>
    <mergeCell ref="B35:B39"/>
    <mergeCell ref="C35:F35"/>
    <mergeCell ref="G35:H35"/>
    <mergeCell ref="B40:B44"/>
    <mergeCell ref="C32:F32"/>
    <mergeCell ref="G32:H32"/>
    <mergeCell ref="C33:F33"/>
    <mergeCell ref="G33:H33"/>
    <mergeCell ref="G28:H28"/>
    <mergeCell ref="C29:F29"/>
    <mergeCell ref="G29:H29"/>
    <mergeCell ref="B30:B34"/>
    <mergeCell ref="C30:F30"/>
    <mergeCell ref="G30:H30"/>
    <mergeCell ref="C34:F34"/>
    <mergeCell ref="G34:H34"/>
    <mergeCell ref="J45:J49"/>
    <mergeCell ref="G46:H46"/>
    <mergeCell ref="G52:H52"/>
    <mergeCell ref="C53:F53"/>
    <mergeCell ref="G53:H53"/>
    <mergeCell ref="C49:F49"/>
    <mergeCell ref="G49:H49"/>
    <mergeCell ref="B50:B54"/>
    <mergeCell ref="C50:F50"/>
    <mergeCell ref="G50:H50"/>
    <mergeCell ref="J50:J54"/>
    <mergeCell ref="G51:H51"/>
    <mergeCell ref="C46:F46"/>
    <mergeCell ref="C47:F47"/>
    <mergeCell ref="C51:F51"/>
    <mergeCell ref="C52:F52"/>
    <mergeCell ref="G47:H47"/>
    <mergeCell ref="C48:F48"/>
    <mergeCell ref="G48:H48"/>
    <mergeCell ref="B45:B49"/>
    <mergeCell ref="C45:F45"/>
    <mergeCell ref="G45:H45"/>
    <mergeCell ref="B55:I55"/>
    <mergeCell ref="G70:J70"/>
    <mergeCell ref="D73:G74"/>
    <mergeCell ref="D75:G75"/>
    <mergeCell ref="C54:F54"/>
    <mergeCell ref="G54:H54"/>
    <mergeCell ref="C66:E67"/>
    <mergeCell ref="G66:I67"/>
    <mergeCell ref="C68:E68"/>
    <mergeCell ref="G68:I68"/>
    <mergeCell ref="G69:J69"/>
    <mergeCell ref="B57:D57"/>
    <mergeCell ref="J35:J39"/>
    <mergeCell ref="G36:H36"/>
    <mergeCell ref="C41:F41"/>
    <mergeCell ref="C42:F42"/>
    <mergeCell ref="G42:H42"/>
    <mergeCell ref="C43:F43"/>
    <mergeCell ref="G43:H43"/>
    <mergeCell ref="C39:F39"/>
    <mergeCell ref="G39:H39"/>
    <mergeCell ref="C40:F40"/>
    <mergeCell ref="G40:H40"/>
    <mergeCell ref="J40:J44"/>
    <mergeCell ref="G41:H41"/>
    <mergeCell ref="C36:F36"/>
    <mergeCell ref="C37:F37"/>
    <mergeCell ref="C44:F44"/>
    <mergeCell ref="G44:H44"/>
    <mergeCell ref="G37:H37"/>
    <mergeCell ref="C38:F38"/>
    <mergeCell ref="G38:H38"/>
  </mergeCells>
  <conditionalFormatting sqref="J6:J21">
    <cfRule type="cellIs" dxfId="11" priority="1" operator="greaterThanOrEqual">
      <formula>5</formula>
    </cfRule>
    <cfRule type="cellIs" dxfId="10" priority="2" operator="greaterThanOrEqual">
      <formula>4</formula>
    </cfRule>
    <cfRule type="cellIs" dxfId="9" priority="3" operator="greaterThanOrEqual">
      <formula>3</formula>
    </cfRule>
    <cfRule type="cellIs" dxfId="8" priority="4" operator="greaterThanOrEqual">
      <formula>2</formula>
    </cfRule>
    <cfRule type="cellIs" dxfId="7" priority="5" operator="greaterThanOrEqual">
      <formula>1</formula>
    </cfRule>
    <cfRule type="cellIs" dxfId="6" priority="6" operator="greaterThanOrEqual">
      <formula>0.1</formula>
    </cfRule>
  </conditionalFormatting>
  <conditionalFormatting sqref="J25:J54">
    <cfRule type="cellIs" dxfId="5" priority="7" operator="greaterThanOrEqual">
      <formula>5</formula>
    </cfRule>
  </conditionalFormatting>
  <conditionalFormatting sqref="J25:J64">
    <cfRule type="cellIs" dxfId="4" priority="8" operator="greaterThanOrEqual">
      <formula>4</formula>
    </cfRule>
    <cfRule type="cellIs" dxfId="3" priority="9" operator="greaterThanOrEqual">
      <formula>3</formula>
    </cfRule>
    <cfRule type="cellIs" dxfId="2" priority="10" operator="greaterThanOrEqual">
      <formula>2</formula>
    </cfRule>
    <cfRule type="cellIs" dxfId="1" priority="11" operator="greaterThanOrEqual">
      <formula>1</formula>
    </cfRule>
    <cfRule type="cellIs" dxfId="0" priority="12" operator="greaterThanOrEqual">
      <formula>0.1</formula>
    </cfRule>
  </conditionalFormatting>
  <printOptions horizontalCentered="1"/>
  <pageMargins left="0.86805555555555558" right="0" top="0.93005952380952384" bottom="0.18601190476190477" header="0" footer="0"/>
  <pageSetup paperSize="14" scale="50" fitToWidth="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75317"/>
  </sheetPr>
  <dimension ref="A1:Z1000"/>
  <sheetViews>
    <sheetView view="pageLayout" topLeftCell="A2" zoomScale="66" zoomScaleNormal="100" zoomScalePageLayoutView="66" workbookViewId="0">
      <selection activeCell="J32" sqref="J32"/>
    </sheetView>
  </sheetViews>
  <sheetFormatPr defaultColWidth="12.7109375" defaultRowHeight="15" customHeight="1"/>
  <cols>
    <col min="1" max="1" width="4.42578125" customWidth="1"/>
    <col min="2" max="2" width="2.85546875" customWidth="1"/>
    <col min="3" max="3" width="13.42578125" customWidth="1"/>
    <col min="4" max="4" width="36.85546875" customWidth="1"/>
    <col min="5" max="5" width="17.140625" customWidth="1"/>
    <col min="6" max="6" width="20.85546875" customWidth="1"/>
    <col min="7" max="8" width="15.85546875" customWidth="1"/>
    <col min="9" max="9" width="16.140625" customWidth="1"/>
    <col min="10" max="10" width="2.85546875" customWidth="1"/>
    <col min="11" max="11" width="4.140625" customWidth="1"/>
    <col min="12" max="12" width="2.140625" customWidth="1"/>
    <col min="13" max="14" width="14.42578125" customWidth="1"/>
    <col min="15" max="15" width="16.42578125" customWidth="1"/>
    <col min="16" max="25" width="9.140625" customWidth="1"/>
    <col min="26" max="26" width="14.42578125" customWidth="1"/>
  </cols>
  <sheetData>
    <row r="1" spans="1:26" ht="16.5" customHeight="1">
      <c r="A1" s="26"/>
      <c r="B1" s="758" t="s">
        <v>489</v>
      </c>
      <c r="C1" s="759"/>
      <c r="D1" s="759"/>
      <c r="E1" s="759"/>
      <c r="F1" s="759"/>
      <c r="G1" s="759"/>
      <c r="H1" s="759"/>
      <c r="I1" s="759"/>
      <c r="J1" s="760"/>
      <c r="K1" s="26"/>
      <c r="L1" s="26"/>
      <c r="M1" s="26"/>
      <c r="N1" s="26"/>
      <c r="O1" s="26"/>
      <c r="P1" s="26"/>
      <c r="Q1" s="26"/>
      <c r="R1" s="26"/>
      <c r="S1" s="26"/>
      <c r="T1" s="26"/>
      <c r="U1" s="26"/>
      <c r="V1" s="26"/>
      <c r="W1" s="26"/>
      <c r="X1" s="26"/>
      <c r="Y1" s="26"/>
      <c r="Z1" s="11"/>
    </row>
    <row r="2" spans="1:26" ht="24.75" customHeight="1">
      <c r="A2" s="26"/>
      <c r="B2" s="27"/>
      <c r="C2" s="761" t="s">
        <v>490</v>
      </c>
      <c r="D2" s="707"/>
      <c r="E2" s="707"/>
      <c r="F2" s="707"/>
      <c r="G2" s="707"/>
      <c r="H2" s="707"/>
      <c r="I2" s="705"/>
      <c r="J2" s="28"/>
      <c r="K2" s="26"/>
      <c r="L2" s="26"/>
      <c r="M2" s="26"/>
      <c r="N2" s="26"/>
      <c r="O2" s="26"/>
      <c r="P2" s="26"/>
      <c r="Q2" s="26"/>
      <c r="R2" s="26"/>
      <c r="S2" s="26"/>
      <c r="T2" s="26"/>
      <c r="U2" s="26"/>
      <c r="V2" s="26"/>
      <c r="W2" s="26"/>
      <c r="X2" s="26"/>
      <c r="Y2" s="26"/>
      <c r="Z2" s="11"/>
    </row>
    <row r="3" spans="1:26" ht="6" customHeight="1">
      <c r="A3" s="26"/>
      <c r="B3" s="762"/>
      <c r="C3" s="739"/>
      <c r="D3" s="739"/>
      <c r="E3" s="739"/>
      <c r="F3" s="739"/>
      <c r="G3" s="739"/>
      <c r="H3" s="739"/>
      <c r="I3" s="739"/>
      <c r="J3" s="754"/>
      <c r="K3" s="26"/>
      <c r="L3" s="26"/>
      <c r="M3" s="26"/>
      <c r="N3" s="26"/>
      <c r="O3" s="26"/>
      <c r="P3" s="26"/>
      <c r="Q3" s="26"/>
      <c r="R3" s="26"/>
      <c r="S3" s="26"/>
      <c r="T3" s="26"/>
      <c r="U3" s="26"/>
      <c r="V3" s="26"/>
      <c r="W3" s="26"/>
      <c r="X3" s="26"/>
      <c r="Y3" s="26"/>
      <c r="Z3" s="11"/>
    </row>
    <row r="4" spans="1:26" ht="7.5" customHeight="1">
      <c r="A4" s="26"/>
      <c r="B4" s="763"/>
      <c r="C4" s="739"/>
      <c r="D4" s="739"/>
      <c r="E4" s="739"/>
      <c r="F4" s="739"/>
      <c r="G4" s="739"/>
      <c r="H4" s="739"/>
      <c r="I4" s="739"/>
      <c r="J4" s="754"/>
      <c r="K4" s="26"/>
      <c r="L4" s="26"/>
      <c r="M4" s="26"/>
      <c r="N4" s="26"/>
      <c r="O4" s="26"/>
      <c r="P4" s="26"/>
      <c r="Q4" s="26"/>
      <c r="R4" s="26"/>
      <c r="S4" s="26"/>
      <c r="T4" s="26"/>
      <c r="U4" s="26"/>
      <c r="V4" s="26"/>
      <c r="W4" s="26"/>
      <c r="X4" s="26"/>
      <c r="Y4" s="26"/>
      <c r="Z4" s="11"/>
    </row>
    <row r="5" spans="1:26" ht="18.75" customHeight="1">
      <c r="A5" s="26"/>
      <c r="B5" s="29"/>
      <c r="C5" s="764" t="s">
        <v>491</v>
      </c>
      <c r="D5" s="751"/>
      <c r="E5" s="765" t="s">
        <v>12</v>
      </c>
      <c r="F5" s="765" t="s">
        <v>492</v>
      </c>
      <c r="G5" s="766" t="s">
        <v>493</v>
      </c>
      <c r="H5" s="768" t="s">
        <v>494</v>
      </c>
      <c r="I5" s="705"/>
      <c r="J5" s="30"/>
      <c r="K5" s="26"/>
      <c r="L5" s="26"/>
      <c r="M5" s="769" t="s">
        <v>495</v>
      </c>
      <c r="N5" s="759"/>
      <c r="O5" s="760"/>
      <c r="P5" s="26"/>
      <c r="Q5" s="26"/>
      <c r="R5" s="26"/>
      <c r="S5" s="26"/>
      <c r="T5" s="26"/>
      <c r="U5" s="26"/>
      <c r="V5" s="26"/>
      <c r="W5" s="26"/>
      <c r="X5" s="26"/>
      <c r="Y5" s="26"/>
      <c r="Z5" s="11"/>
    </row>
    <row r="6" spans="1:26" ht="35.25" customHeight="1">
      <c r="A6" s="26"/>
      <c r="B6" s="27"/>
      <c r="C6" s="726"/>
      <c r="D6" s="728"/>
      <c r="E6" s="747"/>
      <c r="F6" s="747"/>
      <c r="G6" s="767"/>
      <c r="H6" s="31" t="s">
        <v>418</v>
      </c>
      <c r="I6" s="31" t="s">
        <v>419</v>
      </c>
      <c r="J6" s="28"/>
      <c r="K6" s="26"/>
      <c r="L6" s="26"/>
      <c r="M6" s="32" t="s">
        <v>496</v>
      </c>
      <c r="N6" s="32" t="s">
        <v>418</v>
      </c>
      <c r="O6" s="33" t="s">
        <v>419</v>
      </c>
      <c r="P6" s="26"/>
      <c r="Q6" s="26"/>
      <c r="R6" s="26"/>
      <c r="S6" s="26"/>
      <c r="T6" s="26"/>
      <c r="U6" s="26"/>
      <c r="V6" s="26"/>
      <c r="W6" s="26"/>
      <c r="X6" s="26"/>
      <c r="Y6" s="26"/>
      <c r="Z6" s="11"/>
    </row>
    <row r="7" spans="1:26" ht="27.75" customHeight="1">
      <c r="A7" s="26"/>
      <c r="B7" s="27"/>
      <c r="C7" s="748" t="s">
        <v>497</v>
      </c>
      <c r="D7" s="34" t="s">
        <v>498</v>
      </c>
      <c r="E7" s="35">
        <v>0.6</v>
      </c>
      <c r="F7" s="36" t="e">
        <f>'PART I (CY 2025 &amp; SY2025-2026)'!V76</f>
        <v>#DIV/0!</v>
      </c>
      <c r="G7" s="770" t="e">
        <f>SUM(F$7:F$11)</f>
        <v>#DIV/0!</v>
      </c>
      <c r="H7" s="773"/>
      <c r="I7" s="773"/>
      <c r="J7" s="28"/>
      <c r="K7" s="26"/>
      <c r="L7" s="26"/>
      <c r="M7" s="37" t="s">
        <v>499</v>
      </c>
      <c r="N7" s="37">
        <v>5</v>
      </c>
      <c r="O7" s="38" t="s">
        <v>500</v>
      </c>
      <c r="P7" s="26"/>
      <c r="Q7" s="26"/>
      <c r="R7" s="26"/>
      <c r="S7" s="26"/>
      <c r="T7" s="26"/>
      <c r="U7" s="26"/>
      <c r="V7" s="26"/>
      <c r="W7" s="26"/>
      <c r="X7" s="26"/>
      <c r="Y7" s="26"/>
      <c r="Z7" s="11"/>
    </row>
    <row r="8" spans="1:26" ht="33.75" customHeight="1">
      <c r="A8" s="26"/>
      <c r="B8" s="27"/>
      <c r="C8" s="749"/>
      <c r="D8" s="39" t="s">
        <v>501</v>
      </c>
      <c r="E8" s="40">
        <v>0.2</v>
      </c>
      <c r="F8" s="41" t="e">
        <f>'PART I (CY 2025 &amp; SY2025-2026)'!V112</f>
        <v>#DIV/0!</v>
      </c>
      <c r="G8" s="771"/>
      <c r="H8" s="774"/>
      <c r="I8" s="774"/>
      <c r="J8" s="28"/>
      <c r="K8" s="26"/>
      <c r="L8" s="26"/>
      <c r="M8" s="37" t="s">
        <v>502</v>
      </c>
      <c r="N8" s="37">
        <v>4</v>
      </c>
      <c r="O8" s="38" t="s">
        <v>503</v>
      </c>
      <c r="P8" s="26"/>
      <c r="Q8" s="26"/>
      <c r="R8" s="26"/>
      <c r="S8" s="26"/>
      <c r="T8" s="26"/>
      <c r="U8" s="26"/>
      <c r="V8" s="26"/>
      <c r="W8" s="26"/>
      <c r="X8" s="26"/>
      <c r="Y8" s="26"/>
      <c r="Z8" s="11"/>
    </row>
    <row r="9" spans="1:26" ht="21" customHeight="1">
      <c r="A9" s="26"/>
      <c r="B9" s="27"/>
      <c r="C9" s="747"/>
      <c r="D9" s="39" t="s">
        <v>504</v>
      </c>
      <c r="E9" s="42">
        <v>0.15</v>
      </c>
      <c r="F9" s="43" t="e">
        <f>'PART I (CY 2025 &amp; SY2025-2026)'!V146</f>
        <v>#DIV/0!</v>
      </c>
      <c r="G9" s="771"/>
      <c r="H9" s="774"/>
      <c r="I9" s="774"/>
      <c r="J9" s="28"/>
      <c r="K9" s="26"/>
      <c r="L9" s="26"/>
      <c r="M9" s="37" t="s">
        <v>505</v>
      </c>
      <c r="N9" s="37">
        <v>3</v>
      </c>
      <c r="O9" s="38" t="s">
        <v>506</v>
      </c>
      <c r="P9" s="26"/>
      <c r="Q9" s="26"/>
      <c r="R9" s="26"/>
      <c r="S9" s="26"/>
      <c r="T9" s="26"/>
      <c r="U9" s="26"/>
      <c r="V9" s="26"/>
      <c r="W9" s="26"/>
      <c r="X9" s="26"/>
      <c r="Y9" s="26"/>
      <c r="Z9" s="11"/>
    </row>
    <row r="10" spans="1:26" ht="21.75" customHeight="1">
      <c r="A10" s="26"/>
      <c r="B10" s="27"/>
      <c r="C10" s="748" t="s">
        <v>507</v>
      </c>
      <c r="D10" s="39" t="s">
        <v>508</v>
      </c>
      <c r="E10" s="44" t="s">
        <v>509</v>
      </c>
      <c r="F10" s="43" t="e">
        <f>'PART II'!J21</f>
        <v>#DIV/0!</v>
      </c>
      <c r="G10" s="771"/>
      <c r="H10" s="774"/>
      <c r="I10" s="774"/>
      <c r="J10" s="28"/>
      <c r="K10" s="26"/>
      <c r="L10" s="26"/>
      <c r="M10" s="37" t="s">
        <v>510</v>
      </c>
      <c r="N10" s="37">
        <v>2</v>
      </c>
      <c r="O10" s="38" t="s">
        <v>511</v>
      </c>
      <c r="P10" s="26"/>
      <c r="Q10" s="26"/>
      <c r="R10" s="26"/>
      <c r="S10" s="26"/>
      <c r="T10" s="26"/>
      <c r="U10" s="26"/>
      <c r="V10" s="26"/>
      <c r="W10" s="26"/>
      <c r="X10" s="26"/>
      <c r="Y10" s="26"/>
      <c r="Z10" s="11"/>
    </row>
    <row r="11" spans="1:26" ht="19.5" customHeight="1">
      <c r="A11" s="26"/>
      <c r="B11" s="27"/>
      <c r="C11" s="747"/>
      <c r="D11" s="39" t="s">
        <v>512</v>
      </c>
      <c r="E11" s="44" t="s">
        <v>509</v>
      </c>
      <c r="F11" s="43" t="e">
        <f>'PART II'!J55</f>
        <v>#DIV/0!</v>
      </c>
      <c r="G11" s="772"/>
      <c r="H11" s="775"/>
      <c r="I11" s="775"/>
      <c r="J11" s="28"/>
      <c r="K11" s="26"/>
      <c r="L11" s="26"/>
      <c r="M11" s="37" t="s">
        <v>513</v>
      </c>
      <c r="N11" s="37">
        <v>1</v>
      </c>
      <c r="O11" s="38" t="s">
        <v>514</v>
      </c>
      <c r="P11" s="26"/>
      <c r="Q11" s="26"/>
      <c r="R11" s="26"/>
      <c r="S11" s="26"/>
      <c r="T11" s="26"/>
      <c r="U11" s="26"/>
      <c r="V11" s="26"/>
      <c r="W11" s="26"/>
      <c r="X11" s="26"/>
      <c r="Y11" s="26"/>
      <c r="Z11" s="11"/>
    </row>
    <row r="12" spans="1:26" ht="6" customHeight="1">
      <c r="A12" s="26"/>
      <c r="B12" s="753"/>
      <c r="C12" s="739"/>
      <c r="D12" s="739"/>
      <c r="E12" s="739"/>
      <c r="F12" s="739"/>
      <c r="G12" s="739"/>
      <c r="H12" s="739"/>
      <c r="I12" s="739"/>
      <c r="J12" s="754"/>
      <c r="K12" s="26"/>
      <c r="L12" s="26"/>
      <c r="M12" s="26"/>
      <c r="N12" s="26"/>
      <c r="O12" s="26"/>
      <c r="P12" s="26"/>
      <c r="Q12" s="26"/>
      <c r="R12" s="26"/>
      <c r="S12" s="26"/>
      <c r="T12" s="26"/>
      <c r="U12" s="26"/>
      <c r="V12" s="26"/>
      <c r="W12" s="26"/>
      <c r="X12" s="26"/>
      <c r="Y12" s="26"/>
      <c r="Z12" s="11"/>
    </row>
    <row r="13" spans="1:26" ht="15.75" customHeight="1">
      <c r="A13" s="26"/>
      <c r="B13" s="45"/>
      <c r="C13" s="46" t="s">
        <v>515</v>
      </c>
      <c r="D13" s="47"/>
      <c r="E13" s="47"/>
      <c r="F13" s="47"/>
      <c r="G13" s="47"/>
      <c r="H13" s="47"/>
      <c r="I13" s="47"/>
      <c r="J13" s="48"/>
      <c r="K13" s="26"/>
      <c r="L13" s="26"/>
      <c r="M13" s="26"/>
      <c r="N13" s="26"/>
      <c r="O13" s="26"/>
      <c r="P13" s="26"/>
      <c r="Q13" s="26"/>
      <c r="R13" s="26"/>
      <c r="S13" s="26"/>
      <c r="T13" s="26"/>
      <c r="U13" s="26"/>
      <c r="V13" s="26"/>
      <c r="W13" s="26"/>
      <c r="X13" s="26"/>
      <c r="Y13" s="26"/>
      <c r="Z13" s="11"/>
    </row>
    <row r="14" spans="1:26" ht="4.5" customHeight="1">
      <c r="A14" s="26"/>
      <c r="B14" s="49"/>
      <c r="C14" s="50"/>
      <c r="D14" s="50"/>
      <c r="E14" s="50"/>
      <c r="F14" s="50"/>
      <c r="G14" s="50"/>
      <c r="H14" s="50"/>
      <c r="I14" s="50"/>
      <c r="J14" s="51"/>
      <c r="K14" s="26"/>
      <c r="L14" s="26"/>
      <c r="M14" s="26"/>
      <c r="N14" s="26"/>
      <c r="O14" s="26"/>
      <c r="P14" s="26"/>
      <c r="Q14" s="26"/>
      <c r="R14" s="26"/>
      <c r="S14" s="26"/>
      <c r="T14" s="26"/>
      <c r="U14" s="26"/>
      <c r="V14" s="26"/>
      <c r="W14" s="26"/>
      <c r="X14" s="26"/>
      <c r="Y14" s="26"/>
      <c r="Z14" s="11"/>
    </row>
    <row r="15" spans="1:26" ht="45" customHeight="1">
      <c r="A15" s="26"/>
      <c r="B15" s="27"/>
      <c r="C15" s="755" t="s">
        <v>516</v>
      </c>
      <c r="D15" s="739"/>
      <c r="E15" s="739"/>
      <c r="F15" s="739"/>
      <c r="G15" s="739"/>
      <c r="H15" s="739"/>
      <c r="I15" s="740"/>
      <c r="J15" s="51"/>
      <c r="K15" s="26"/>
      <c r="L15" s="26"/>
      <c r="M15" s="26"/>
      <c r="N15" s="26"/>
      <c r="O15" s="26"/>
      <c r="P15" s="26"/>
      <c r="Q15" s="26"/>
      <c r="R15" s="26"/>
      <c r="S15" s="26"/>
      <c r="T15" s="26"/>
      <c r="U15" s="26"/>
      <c r="V15" s="26"/>
      <c r="W15" s="26"/>
      <c r="X15" s="26"/>
      <c r="Y15" s="26"/>
      <c r="Z15" s="11"/>
    </row>
    <row r="16" spans="1:26" ht="14.25" customHeight="1">
      <c r="A16" s="26"/>
      <c r="B16" s="756"/>
      <c r="C16" s="739"/>
      <c r="D16" s="739"/>
      <c r="E16" s="739"/>
      <c r="F16" s="739"/>
      <c r="G16" s="739"/>
      <c r="H16" s="739"/>
      <c r="I16" s="739"/>
      <c r="J16" s="754"/>
      <c r="K16" s="26"/>
      <c r="L16" s="26"/>
      <c r="M16" s="26"/>
      <c r="N16" s="26"/>
      <c r="O16" s="26"/>
      <c r="P16" s="26"/>
      <c r="Q16" s="26"/>
      <c r="R16" s="26"/>
      <c r="S16" s="26"/>
      <c r="T16" s="26"/>
      <c r="U16" s="26"/>
      <c r="V16" s="26"/>
      <c r="W16" s="26"/>
      <c r="X16" s="26"/>
      <c r="Y16" s="26"/>
      <c r="Z16" s="11"/>
    </row>
    <row r="17" spans="1:26" ht="14.25" customHeight="1">
      <c r="A17" s="26"/>
      <c r="B17" s="27"/>
      <c r="C17" s="750" t="s">
        <v>616</v>
      </c>
      <c r="D17" s="751"/>
      <c r="E17" s="52"/>
      <c r="F17" s="750" t="s">
        <v>617</v>
      </c>
      <c r="G17" s="757"/>
      <c r="H17" s="757"/>
      <c r="I17" s="751"/>
      <c r="J17" s="28"/>
      <c r="K17" s="26"/>
      <c r="L17" s="26"/>
      <c r="M17" s="26"/>
      <c r="N17" s="26"/>
      <c r="O17" s="26"/>
      <c r="P17" s="26"/>
      <c r="Q17" s="26"/>
      <c r="R17" s="26"/>
      <c r="S17" s="26"/>
      <c r="T17" s="26"/>
      <c r="U17" s="26"/>
      <c r="V17" s="26"/>
      <c r="W17" s="26"/>
      <c r="X17" s="26"/>
      <c r="Y17" s="26"/>
      <c r="Z17" s="11"/>
    </row>
    <row r="18" spans="1:26" ht="14.25" customHeight="1">
      <c r="A18" s="26"/>
      <c r="B18" s="27"/>
      <c r="C18" s="726"/>
      <c r="D18" s="728"/>
      <c r="E18" s="53"/>
      <c r="F18" s="726"/>
      <c r="G18" s="727"/>
      <c r="H18" s="727"/>
      <c r="I18" s="728"/>
      <c r="J18" s="28"/>
      <c r="K18" s="26"/>
      <c r="L18" s="26"/>
      <c r="M18" s="26"/>
      <c r="N18" s="26"/>
      <c r="O18" s="26"/>
      <c r="P18" s="26"/>
      <c r="Q18" s="26"/>
      <c r="R18" s="26"/>
      <c r="S18" s="26"/>
      <c r="T18" s="26"/>
      <c r="U18" s="26"/>
      <c r="V18" s="26"/>
      <c r="W18" s="26"/>
      <c r="X18" s="26"/>
      <c r="Y18" s="26"/>
      <c r="Z18" s="11"/>
    </row>
    <row r="19" spans="1:26" ht="15.75" customHeight="1">
      <c r="A19" s="26"/>
      <c r="B19" s="27"/>
      <c r="C19" s="750" t="s">
        <v>517</v>
      </c>
      <c r="D19" s="751"/>
      <c r="E19" s="54"/>
      <c r="F19" s="750" t="s">
        <v>518</v>
      </c>
      <c r="G19" s="757"/>
      <c r="H19" s="757"/>
      <c r="I19" s="751"/>
      <c r="J19" s="28"/>
      <c r="K19" s="26"/>
      <c r="L19" s="26"/>
      <c r="M19" s="26"/>
      <c r="N19" s="26"/>
      <c r="O19" s="26"/>
      <c r="P19" s="26"/>
      <c r="Q19" s="26"/>
      <c r="R19" s="26"/>
      <c r="S19" s="26"/>
      <c r="T19" s="26"/>
      <c r="U19" s="26"/>
      <c r="V19" s="26"/>
      <c r="W19" s="26"/>
      <c r="X19" s="26"/>
      <c r="Y19" s="26"/>
      <c r="Z19" s="11"/>
    </row>
    <row r="20" spans="1:26" ht="15.75" customHeight="1">
      <c r="A20" s="26"/>
      <c r="B20" s="27"/>
      <c r="C20" s="726"/>
      <c r="D20" s="728"/>
      <c r="E20" s="54"/>
      <c r="F20" s="726"/>
      <c r="G20" s="727"/>
      <c r="H20" s="727"/>
      <c r="I20" s="728"/>
      <c r="J20" s="28"/>
      <c r="K20" s="26"/>
      <c r="L20" s="26"/>
      <c r="M20" s="26"/>
      <c r="N20" s="26"/>
      <c r="O20" s="26"/>
      <c r="P20" s="26"/>
      <c r="Q20" s="26"/>
      <c r="R20" s="26"/>
      <c r="S20" s="26"/>
      <c r="T20" s="26"/>
      <c r="U20" s="26"/>
      <c r="V20" s="26"/>
      <c r="W20" s="26"/>
      <c r="X20" s="26"/>
      <c r="Y20" s="26"/>
      <c r="Z20" s="11"/>
    </row>
    <row r="21" spans="1:26" ht="14.25" customHeight="1">
      <c r="A21" s="26"/>
      <c r="B21" s="27"/>
      <c r="C21" s="752" t="s">
        <v>519</v>
      </c>
      <c r="D21" s="751"/>
      <c r="E21" s="52"/>
      <c r="F21" s="750" t="s">
        <v>520</v>
      </c>
      <c r="G21" s="757"/>
      <c r="H21" s="757"/>
      <c r="I21" s="751"/>
      <c r="J21" s="28"/>
      <c r="K21" s="26"/>
      <c r="L21" s="26"/>
      <c r="M21" s="26"/>
      <c r="N21" s="26"/>
      <c r="O21" s="26"/>
      <c r="P21" s="26"/>
      <c r="Q21" s="26"/>
      <c r="R21" s="26"/>
      <c r="S21" s="26"/>
      <c r="T21" s="26"/>
      <c r="U21" s="26"/>
      <c r="V21" s="26"/>
      <c r="W21" s="26"/>
      <c r="X21" s="26"/>
      <c r="Y21" s="26"/>
      <c r="Z21" s="11"/>
    </row>
    <row r="22" spans="1:26" ht="14.25" customHeight="1">
      <c r="A22" s="26"/>
      <c r="B22" s="27"/>
      <c r="C22" s="726"/>
      <c r="D22" s="728"/>
      <c r="E22" s="55"/>
      <c r="F22" s="726"/>
      <c r="G22" s="727"/>
      <c r="H22" s="727"/>
      <c r="I22" s="728"/>
      <c r="J22" s="28"/>
      <c r="K22" s="26"/>
      <c r="L22" s="26"/>
      <c r="M22" s="26"/>
      <c r="N22" s="26"/>
      <c r="O22" s="26"/>
      <c r="P22" s="26"/>
      <c r="Q22" s="26"/>
      <c r="R22" s="26"/>
      <c r="S22" s="26"/>
      <c r="T22" s="26"/>
      <c r="U22" s="26"/>
      <c r="V22" s="26"/>
      <c r="W22" s="26"/>
      <c r="X22" s="26"/>
      <c r="Y22" s="26"/>
      <c r="Z22" s="11"/>
    </row>
    <row r="23" spans="1:26" ht="14.25" customHeight="1">
      <c r="A23" s="26"/>
      <c r="B23" s="49"/>
      <c r="C23" s="50"/>
      <c r="D23" s="50"/>
      <c r="E23" s="50"/>
      <c r="F23" s="50"/>
      <c r="G23" s="50"/>
      <c r="H23" s="50"/>
      <c r="I23" s="50"/>
      <c r="J23" s="51"/>
      <c r="K23" s="26"/>
      <c r="L23" s="26"/>
      <c r="M23" s="26"/>
      <c r="N23" s="26"/>
      <c r="O23" s="26"/>
      <c r="P23" s="26"/>
      <c r="Q23" s="26"/>
      <c r="R23" s="26"/>
      <c r="S23" s="26"/>
      <c r="T23" s="26"/>
      <c r="U23" s="26"/>
      <c r="V23" s="26"/>
      <c r="W23" s="26"/>
      <c r="X23" s="26"/>
      <c r="Y23" s="26"/>
      <c r="Z23" s="11"/>
    </row>
    <row r="24" spans="1:26" ht="14.25" customHeight="1">
      <c r="A24" s="26"/>
      <c r="B24" s="56"/>
      <c r="C24" s="57"/>
      <c r="D24" s="57"/>
      <c r="E24" s="57"/>
      <c r="F24" s="57"/>
      <c r="G24" s="57"/>
      <c r="H24" s="57"/>
      <c r="I24" s="57"/>
      <c r="J24" s="58"/>
      <c r="K24" s="26"/>
      <c r="L24" s="26"/>
      <c r="M24" s="26"/>
      <c r="N24" s="26"/>
      <c r="O24" s="26"/>
      <c r="P24" s="26"/>
      <c r="Q24" s="26"/>
      <c r="R24" s="26"/>
      <c r="S24" s="26"/>
      <c r="T24" s="26"/>
      <c r="U24" s="26"/>
      <c r="V24" s="26"/>
      <c r="W24" s="26"/>
      <c r="X24" s="26"/>
      <c r="Y24" s="26"/>
      <c r="Z24" s="11"/>
    </row>
    <row r="25" spans="1:26" ht="14.2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11"/>
    </row>
    <row r="26" spans="1:26" ht="14.2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11"/>
    </row>
    <row r="27" spans="1:26" ht="14.2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11"/>
    </row>
    <row r="28" spans="1:26" ht="14.2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11"/>
    </row>
    <row r="29" spans="1:26" ht="14.2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11"/>
    </row>
    <row r="30" spans="1:26" ht="14.2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11"/>
    </row>
    <row r="31" spans="1:26" ht="14.2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11"/>
    </row>
    <row r="32" spans="1:26" ht="14.2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11"/>
    </row>
    <row r="33" spans="1:26" ht="14.2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11"/>
    </row>
    <row r="34" spans="1:26" ht="14.2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11"/>
    </row>
    <row r="35" spans="1:26" ht="14.2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11"/>
    </row>
    <row r="36" spans="1:26" ht="14.2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11"/>
    </row>
    <row r="37" spans="1:26" ht="14.2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11"/>
    </row>
    <row r="38" spans="1:26" ht="14.2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11"/>
    </row>
    <row r="39" spans="1:26" ht="14.2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11"/>
    </row>
    <row r="40" spans="1:26" ht="14.2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11"/>
    </row>
    <row r="41" spans="1:26" ht="14.2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11"/>
    </row>
    <row r="42" spans="1:26" ht="14.2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11"/>
    </row>
    <row r="43" spans="1:26" ht="14.2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11"/>
    </row>
    <row r="44" spans="1:26" ht="14.2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11"/>
    </row>
    <row r="45" spans="1:26" ht="14.2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11"/>
    </row>
    <row r="46" spans="1:26" ht="14.2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11"/>
    </row>
    <row r="47" spans="1:26" ht="14.2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11"/>
    </row>
    <row r="48" spans="1:26" ht="14.2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11"/>
    </row>
    <row r="49" spans="1:26" ht="14.2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11"/>
    </row>
    <row r="50" spans="1:26" ht="14.2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11"/>
    </row>
    <row r="51" spans="1:26" ht="14.2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11"/>
    </row>
    <row r="52" spans="1:26" ht="14.2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11"/>
    </row>
    <row r="53" spans="1:26" ht="14.2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11"/>
    </row>
    <row r="54" spans="1:26" ht="14.2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11"/>
    </row>
    <row r="55" spans="1:26" ht="14.2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11"/>
    </row>
    <row r="56" spans="1:26" ht="14.2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11"/>
    </row>
    <row r="57" spans="1:26" ht="14.2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11"/>
    </row>
    <row r="58" spans="1:26" ht="14.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11"/>
    </row>
    <row r="59" spans="1:26" ht="14.2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11"/>
    </row>
    <row r="60" spans="1:26"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11"/>
    </row>
    <row r="61" spans="1:26"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11"/>
    </row>
    <row r="62" spans="1:26"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11"/>
    </row>
    <row r="63" spans="1:26"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11"/>
    </row>
    <row r="64" spans="1:26"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11"/>
    </row>
    <row r="65" spans="1:26"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11"/>
    </row>
    <row r="66" spans="1:26"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11"/>
    </row>
    <row r="67" spans="1:26"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11"/>
    </row>
    <row r="68" spans="1:26"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11"/>
    </row>
    <row r="69" spans="1:26"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11"/>
    </row>
    <row r="70" spans="1:26"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11"/>
    </row>
    <row r="71" spans="1:26"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11"/>
    </row>
    <row r="72" spans="1:26"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11"/>
    </row>
    <row r="73" spans="1:26"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11"/>
    </row>
    <row r="74" spans="1:26"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11"/>
    </row>
    <row r="75" spans="1:26"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11"/>
    </row>
    <row r="76" spans="1:2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11"/>
    </row>
    <row r="77" spans="1:26"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11"/>
    </row>
    <row r="78" spans="1:26"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11"/>
    </row>
    <row r="79" spans="1:26"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11"/>
    </row>
    <row r="80" spans="1:26"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11"/>
    </row>
    <row r="81" spans="1:26"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11"/>
    </row>
    <row r="82" spans="1:26"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11"/>
    </row>
    <row r="83" spans="1:26"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11"/>
    </row>
    <row r="84" spans="1:26"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11"/>
    </row>
    <row r="85" spans="1:26"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11"/>
    </row>
    <row r="86" spans="1:26"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11"/>
    </row>
    <row r="87" spans="1:26"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11"/>
    </row>
    <row r="88" spans="1:26"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11"/>
    </row>
    <row r="89" spans="1:26"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11"/>
    </row>
    <row r="90" spans="1:26"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11"/>
    </row>
    <row r="91" spans="1:26"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11"/>
    </row>
    <row r="92" spans="1:26"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11"/>
    </row>
    <row r="93" spans="1:26"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11"/>
    </row>
    <row r="94" spans="1:26"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11"/>
    </row>
    <row r="95" spans="1:26"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11"/>
    </row>
    <row r="96" spans="1:2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11"/>
    </row>
    <row r="97" spans="1:26"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11"/>
    </row>
    <row r="98" spans="1:26"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11"/>
    </row>
    <row r="99" spans="1:26"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11"/>
    </row>
    <row r="100" spans="1:26"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11"/>
    </row>
    <row r="101" spans="1:26"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11"/>
    </row>
    <row r="102" spans="1:26"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11"/>
    </row>
    <row r="103" spans="1:26"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11"/>
    </row>
    <row r="104" spans="1:26"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11"/>
    </row>
    <row r="105" spans="1:26"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11"/>
    </row>
    <row r="106" spans="1:2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11"/>
    </row>
    <row r="107" spans="1:26"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11"/>
    </row>
    <row r="108" spans="1:26"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11"/>
    </row>
    <row r="109" spans="1:26"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11"/>
    </row>
    <row r="110" spans="1:26"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11"/>
    </row>
    <row r="111" spans="1:26"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11"/>
    </row>
    <row r="112" spans="1:26"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11"/>
    </row>
    <row r="113" spans="1:26"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11"/>
    </row>
    <row r="114" spans="1:26"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11"/>
    </row>
    <row r="115" spans="1:26"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11"/>
    </row>
    <row r="116" spans="1:2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11"/>
    </row>
    <row r="117" spans="1:26"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11"/>
    </row>
    <row r="118" spans="1:26"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11"/>
    </row>
    <row r="119" spans="1:26"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11"/>
    </row>
    <row r="120" spans="1:26"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11"/>
    </row>
    <row r="121" spans="1:26"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11"/>
    </row>
    <row r="122" spans="1:26"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11"/>
    </row>
    <row r="123" spans="1:26"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11"/>
    </row>
    <row r="124" spans="1:26"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11"/>
    </row>
    <row r="125" spans="1:26"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11"/>
    </row>
    <row r="126" spans="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11"/>
    </row>
    <row r="127" spans="1:26"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11"/>
    </row>
    <row r="128" spans="1:26"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11"/>
    </row>
    <row r="129" spans="1:26"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11"/>
    </row>
    <row r="130" spans="1:26"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11"/>
    </row>
    <row r="131" spans="1:26"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11"/>
    </row>
    <row r="132" spans="1:26"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11"/>
    </row>
    <row r="133" spans="1:26"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11"/>
    </row>
    <row r="134" spans="1:26"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11"/>
    </row>
    <row r="135" spans="1:26"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11"/>
    </row>
    <row r="136" spans="1:2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11"/>
    </row>
    <row r="137" spans="1:26"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11"/>
    </row>
    <row r="138" spans="1:26"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11"/>
    </row>
    <row r="139" spans="1:26"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11"/>
    </row>
    <row r="140" spans="1:26"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11"/>
    </row>
    <row r="141" spans="1:26"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11"/>
    </row>
    <row r="142" spans="1:26"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11"/>
    </row>
    <row r="143" spans="1:26"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11"/>
    </row>
    <row r="144" spans="1:26"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11"/>
    </row>
    <row r="145" spans="1:26"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11"/>
    </row>
    <row r="146" spans="1:2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11"/>
    </row>
    <row r="147" spans="1:26"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11"/>
    </row>
    <row r="148" spans="1:26"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11"/>
    </row>
    <row r="149" spans="1:26"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11"/>
    </row>
    <row r="150" spans="1:26"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11"/>
    </row>
    <row r="151" spans="1:26"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11"/>
    </row>
    <row r="152" spans="1:26"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11"/>
    </row>
    <row r="153" spans="1:26"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11"/>
    </row>
    <row r="154" spans="1:26"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11"/>
    </row>
    <row r="155" spans="1:26"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11"/>
    </row>
    <row r="156" spans="1:2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11"/>
    </row>
    <row r="157" spans="1:26"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11"/>
    </row>
    <row r="158" spans="1:26"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11"/>
    </row>
    <row r="159" spans="1:26"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11"/>
    </row>
    <row r="160" spans="1:26"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11"/>
    </row>
    <row r="161" spans="1:26"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11"/>
    </row>
    <row r="162" spans="1:26"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11"/>
    </row>
    <row r="163" spans="1:26"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11"/>
    </row>
    <row r="164" spans="1:26"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11"/>
    </row>
    <row r="165" spans="1:26"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11"/>
    </row>
    <row r="166" spans="1:2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11"/>
    </row>
    <row r="167" spans="1:26"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11"/>
    </row>
    <row r="168" spans="1:26"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11"/>
    </row>
    <row r="169" spans="1:26"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11"/>
    </row>
    <row r="170" spans="1:26"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11"/>
    </row>
    <row r="171" spans="1:26"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11"/>
    </row>
    <row r="172" spans="1:26"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11"/>
    </row>
    <row r="173" spans="1:26"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11"/>
    </row>
    <row r="174" spans="1:26"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11"/>
    </row>
    <row r="175" spans="1:26"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11"/>
    </row>
    <row r="176" spans="1:2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11"/>
    </row>
    <row r="177" spans="1:26"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11"/>
    </row>
    <row r="178" spans="1:26"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11"/>
    </row>
    <row r="179" spans="1:26"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11"/>
    </row>
    <row r="180" spans="1:26"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11"/>
    </row>
    <row r="181" spans="1:26"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11"/>
    </row>
    <row r="182" spans="1:26"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11"/>
    </row>
    <row r="183" spans="1:26"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11"/>
    </row>
    <row r="184" spans="1:26"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11"/>
    </row>
    <row r="185" spans="1:26"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11"/>
    </row>
    <row r="186" spans="1:2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11"/>
    </row>
    <row r="187" spans="1:26"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11"/>
    </row>
    <row r="188" spans="1:26"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11"/>
    </row>
    <row r="189" spans="1:26"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11"/>
    </row>
    <row r="190" spans="1:26"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11"/>
    </row>
    <row r="191" spans="1:26"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11"/>
    </row>
    <row r="192" spans="1:26"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11"/>
    </row>
    <row r="193" spans="1:26"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11"/>
    </row>
    <row r="194" spans="1:26"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11"/>
    </row>
    <row r="195" spans="1:26"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11"/>
    </row>
    <row r="196" spans="1:2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11"/>
    </row>
    <row r="197" spans="1:26"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11"/>
    </row>
    <row r="198" spans="1:26"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11"/>
    </row>
    <row r="199" spans="1:26"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11"/>
    </row>
    <row r="200" spans="1:26"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11"/>
    </row>
    <row r="201" spans="1:26"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11"/>
    </row>
    <row r="202" spans="1:26"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11"/>
    </row>
    <row r="203" spans="1:26"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11"/>
    </row>
    <row r="204" spans="1:26"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11"/>
    </row>
    <row r="205" spans="1:26"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11"/>
    </row>
    <row r="206" spans="1:2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11"/>
    </row>
    <row r="207" spans="1:26"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11"/>
    </row>
    <row r="208" spans="1:26"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11"/>
    </row>
    <row r="209" spans="1:26"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11"/>
    </row>
    <row r="210" spans="1:26"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11"/>
    </row>
    <row r="211" spans="1:26"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11"/>
    </row>
    <row r="212" spans="1:26"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11"/>
    </row>
    <row r="213" spans="1:26"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11"/>
    </row>
    <row r="214" spans="1:26"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11"/>
    </row>
    <row r="215" spans="1:26"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11"/>
    </row>
    <row r="216" spans="1:2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11"/>
    </row>
    <row r="217" spans="1:26"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11"/>
    </row>
    <row r="218" spans="1:26"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11"/>
    </row>
    <row r="219" spans="1:26"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11"/>
    </row>
    <row r="220" spans="1:26"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11"/>
    </row>
    <row r="221" spans="1:26"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11"/>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4">
    <mergeCell ref="M5:O5"/>
    <mergeCell ref="F5:F6"/>
    <mergeCell ref="G7:G11"/>
    <mergeCell ref="H7:H11"/>
    <mergeCell ref="I7:I11"/>
    <mergeCell ref="B1:J1"/>
    <mergeCell ref="C2:I2"/>
    <mergeCell ref="B3:J3"/>
    <mergeCell ref="B4:J4"/>
    <mergeCell ref="C5:D6"/>
    <mergeCell ref="E5:E6"/>
    <mergeCell ref="G5:G6"/>
    <mergeCell ref="H5:I5"/>
    <mergeCell ref="C7:C9"/>
    <mergeCell ref="C19:D20"/>
    <mergeCell ref="C21:D22"/>
    <mergeCell ref="C10:C11"/>
    <mergeCell ref="B12:J12"/>
    <mergeCell ref="C15:I15"/>
    <mergeCell ref="B16:J16"/>
    <mergeCell ref="C17:D18"/>
    <mergeCell ref="F17:I18"/>
    <mergeCell ref="F19:I20"/>
    <mergeCell ref="F21:I22"/>
  </mergeCells>
  <pageMargins left="0.70866141732283505" right="0.70866141732283505" top="1.3570601851851851" bottom="0.74803149606299202" header="0" footer="0"/>
  <pageSetup scale="70"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5317"/>
  </sheetPr>
  <dimension ref="A1:AB1000"/>
  <sheetViews>
    <sheetView showWhiteSpace="0" view="pageLayout" zoomScale="68" zoomScaleNormal="48" zoomScalePageLayoutView="68" workbookViewId="0">
      <selection activeCell="F28" sqref="F28"/>
    </sheetView>
  </sheetViews>
  <sheetFormatPr defaultColWidth="12.7109375" defaultRowHeight="15" customHeight="1"/>
  <cols>
    <col min="1" max="1" width="3.42578125" customWidth="1"/>
    <col min="2" max="2" width="2.85546875" customWidth="1"/>
    <col min="3" max="3" width="45.42578125" customWidth="1"/>
    <col min="4" max="4" width="43" customWidth="1"/>
    <col min="5" max="5" width="1.85546875" customWidth="1"/>
    <col min="6" max="6" width="45.42578125" customWidth="1"/>
    <col min="7" max="7" width="42.140625" customWidth="1"/>
    <col min="8" max="8" width="1" customWidth="1"/>
    <col min="9" max="9" width="42.42578125" customWidth="1"/>
    <col min="10" max="10" width="43.85546875" customWidth="1"/>
    <col min="11" max="11" width="4.42578125" customWidth="1"/>
    <col min="12" max="28" width="9.140625" customWidth="1"/>
  </cols>
  <sheetData>
    <row r="1" spans="1:28" ht="7.5" customHeight="1">
      <c r="A1" s="26"/>
      <c r="B1" s="786"/>
      <c r="C1" s="759"/>
      <c r="D1" s="759"/>
      <c r="E1" s="759"/>
      <c r="F1" s="759"/>
      <c r="G1" s="759"/>
      <c r="H1" s="759"/>
      <c r="I1" s="759"/>
      <c r="J1" s="759"/>
      <c r="K1" s="760"/>
      <c r="L1" s="26"/>
      <c r="M1" s="26"/>
      <c r="N1" s="26"/>
      <c r="O1" s="26"/>
      <c r="P1" s="26"/>
      <c r="Q1" s="26"/>
      <c r="R1" s="26"/>
      <c r="S1" s="26"/>
      <c r="T1" s="26"/>
      <c r="U1" s="26"/>
      <c r="V1" s="26"/>
      <c r="W1" s="26"/>
      <c r="X1" s="26"/>
      <c r="Y1" s="26"/>
      <c r="Z1" s="26"/>
      <c r="AA1" s="26"/>
      <c r="AB1" s="26"/>
    </row>
    <row r="2" spans="1:28" ht="12" customHeight="1">
      <c r="A2" s="26"/>
      <c r="B2" s="49"/>
      <c r="C2" s="9" t="s">
        <v>521</v>
      </c>
      <c r="D2" s="50"/>
      <c r="E2" s="50"/>
      <c r="F2" s="50"/>
      <c r="G2" s="50"/>
      <c r="H2" s="50"/>
      <c r="I2" s="50"/>
      <c r="J2" s="50"/>
      <c r="K2" s="51"/>
      <c r="L2" s="26"/>
      <c r="M2" s="26"/>
      <c r="N2" s="26"/>
      <c r="O2" s="26"/>
      <c r="P2" s="26"/>
      <c r="Q2" s="26"/>
      <c r="R2" s="26"/>
      <c r="S2" s="26"/>
      <c r="T2" s="26"/>
      <c r="U2" s="26"/>
      <c r="V2" s="26"/>
      <c r="W2" s="26"/>
      <c r="X2" s="26"/>
      <c r="Y2" s="26"/>
      <c r="Z2" s="26"/>
      <c r="AA2" s="26"/>
      <c r="AB2" s="26"/>
    </row>
    <row r="3" spans="1:28" ht="1.5" customHeight="1">
      <c r="A3" s="26"/>
      <c r="B3" s="49"/>
      <c r="C3" s="50"/>
      <c r="D3" s="50"/>
      <c r="E3" s="50"/>
      <c r="F3" s="50"/>
      <c r="G3" s="50"/>
      <c r="H3" s="50"/>
      <c r="I3" s="50"/>
      <c r="J3" s="50"/>
      <c r="K3" s="51"/>
      <c r="L3" s="26"/>
      <c r="M3" s="26"/>
      <c r="N3" s="26"/>
      <c r="O3" s="26"/>
      <c r="P3" s="26"/>
      <c r="Q3" s="26"/>
      <c r="R3" s="26"/>
      <c r="S3" s="26"/>
      <c r="T3" s="26"/>
      <c r="U3" s="26"/>
      <c r="V3" s="26"/>
      <c r="W3" s="26"/>
      <c r="X3" s="26"/>
      <c r="Y3" s="26"/>
      <c r="Z3" s="26"/>
      <c r="AA3" s="26"/>
      <c r="AB3" s="26"/>
    </row>
    <row r="4" spans="1:28" ht="19.5" customHeight="1">
      <c r="A4" s="26"/>
      <c r="B4" s="27"/>
      <c r="C4" s="787" t="s">
        <v>522</v>
      </c>
      <c r="D4" s="739"/>
      <c r="E4" s="739"/>
      <c r="F4" s="739"/>
      <c r="G4" s="739"/>
      <c r="H4" s="739"/>
      <c r="I4" s="739"/>
      <c r="J4" s="740"/>
      <c r="K4" s="28"/>
      <c r="L4" s="26"/>
      <c r="M4" s="26"/>
      <c r="N4" s="26"/>
      <c r="O4" s="26"/>
      <c r="P4" s="26"/>
      <c r="Q4" s="26"/>
      <c r="R4" s="26"/>
      <c r="S4" s="26"/>
      <c r="T4" s="26"/>
      <c r="U4" s="26"/>
      <c r="V4" s="26"/>
      <c r="W4" s="26"/>
      <c r="X4" s="26"/>
      <c r="Y4" s="26"/>
      <c r="Z4" s="26"/>
      <c r="AA4" s="26"/>
      <c r="AB4" s="26"/>
    </row>
    <row r="5" spans="1:28" ht="19.5" customHeight="1">
      <c r="A5" s="26"/>
      <c r="B5" s="27"/>
      <c r="C5" s="59"/>
      <c r="D5" s="59"/>
      <c r="E5" s="59"/>
      <c r="F5" s="59"/>
      <c r="G5" s="59"/>
      <c r="H5" s="59"/>
      <c r="I5" s="59"/>
      <c r="J5" s="59"/>
      <c r="K5" s="28"/>
      <c r="L5" s="26"/>
      <c r="M5" s="26"/>
      <c r="N5" s="26"/>
      <c r="O5" s="26"/>
      <c r="P5" s="26"/>
      <c r="Q5" s="26"/>
      <c r="R5" s="26"/>
      <c r="S5" s="26"/>
      <c r="T5" s="26"/>
      <c r="U5" s="26"/>
      <c r="V5" s="26"/>
      <c r="W5" s="26"/>
      <c r="X5" s="26"/>
      <c r="Y5" s="26"/>
      <c r="Z5" s="26"/>
      <c r="AA5" s="26"/>
      <c r="AB5" s="26"/>
    </row>
    <row r="6" spans="1:28" ht="18" customHeight="1">
      <c r="A6" s="26"/>
      <c r="B6" s="60"/>
      <c r="C6" s="59" t="s">
        <v>523</v>
      </c>
      <c r="D6" s="59"/>
      <c r="E6" s="59"/>
      <c r="F6" s="59"/>
      <c r="G6" s="59"/>
      <c r="H6" s="59"/>
      <c r="I6" s="59"/>
      <c r="J6" s="59"/>
      <c r="K6" s="30"/>
      <c r="L6" s="26"/>
      <c r="M6" s="26"/>
      <c r="N6" s="26"/>
      <c r="O6" s="26"/>
      <c r="P6" s="26"/>
      <c r="Q6" s="26"/>
      <c r="R6" s="26"/>
      <c r="S6" s="26"/>
      <c r="T6" s="26"/>
      <c r="U6" s="26"/>
      <c r="V6" s="26"/>
      <c r="W6" s="26"/>
      <c r="X6" s="26"/>
      <c r="Y6" s="26"/>
      <c r="Z6" s="26"/>
      <c r="AA6" s="26"/>
      <c r="AB6" s="26"/>
    </row>
    <row r="7" spans="1:28" ht="14.25" customHeight="1">
      <c r="A7" s="26"/>
      <c r="B7" s="27"/>
      <c r="C7" s="61"/>
      <c r="D7" s="61"/>
      <c r="E7" s="779" t="s">
        <v>524</v>
      </c>
      <c r="F7" s="707"/>
      <c r="G7" s="707"/>
      <c r="H7" s="705"/>
      <c r="I7" s="61"/>
      <c r="J7" s="61"/>
      <c r="K7" s="62"/>
      <c r="L7" s="26"/>
      <c r="M7" s="26"/>
      <c r="N7" s="26"/>
      <c r="O7" s="26"/>
      <c r="P7" s="26"/>
      <c r="Q7" s="26"/>
      <c r="R7" s="26"/>
      <c r="S7" s="26"/>
      <c r="T7" s="26"/>
      <c r="U7" s="26"/>
      <c r="V7" s="26"/>
      <c r="W7" s="26"/>
      <c r="X7" s="26"/>
      <c r="Y7" s="26"/>
      <c r="Z7" s="26"/>
      <c r="AA7" s="26"/>
      <c r="AB7" s="26"/>
    </row>
    <row r="8" spans="1:28" ht="33">
      <c r="A8" s="26"/>
      <c r="B8" s="27"/>
      <c r="C8" s="63" t="s">
        <v>525</v>
      </c>
      <c r="D8" s="63" t="s">
        <v>526</v>
      </c>
      <c r="E8" s="779" t="s">
        <v>527</v>
      </c>
      <c r="F8" s="705"/>
      <c r="G8" s="779" t="s">
        <v>528</v>
      </c>
      <c r="H8" s="705"/>
      <c r="I8" s="63" t="s">
        <v>11</v>
      </c>
      <c r="J8" s="63" t="s">
        <v>529</v>
      </c>
      <c r="K8" s="28"/>
      <c r="L8" s="26"/>
      <c r="M8" s="26"/>
      <c r="N8" s="26"/>
      <c r="O8" s="26"/>
      <c r="P8" s="26"/>
      <c r="Q8" s="26"/>
      <c r="R8" s="26"/>
      <c r="S8" s="26"/>
      <c r="T8" s="26"/>
      <c r="U8" s="26"/>
      <c r="V8" s="26"/>
      <c r="W8" s="26"/>
      <c r="X8" s="26"/>
      <c r="Y8" s="26"/>
      <c r="Z8" s="26"/>
      <c r="AA8" s="26"/>
      <c r="AB8" s="26"/>
    </row>
    <row r="9" spans="1:28" ht="99.75" customHeight="1">
      <c r="A9" s="26"/>
      <c r="B9" s="27"/>
      <c r="C9" s="298"/>
      <c r="D9" s="299"/>
      <c r="E9" s="782"/>
      <c r="F9" s="783"/>
      <c r="G9" s="782"/>
      <c r="H9" s="783"/>
      <c r="I9" s="300"/>
      <c r="J9" s="301"/>
      <c r="K9" s="28"/>
      <c r="L9" s="26"/>
      <c r="M9" s="26"/>
      <c r="N9" s="26"/>
      <c r="O9" s="26"/>
      <c r="P9" s="26"/>
      <c r="Q9" s="26"/>
      <c r="R9" s="26"/>
      <c r="S9" s="26"/>
      <c r="T9" s="26"/>
      <c r="U9" s="26"/>
      <c r="V9" s="26"/>
      <c r="W9" s="26"/>
      <c r="X9" s="26"/>
      <c r="Y9" s="26"/>
      <c r="Z9" s="26"/>
      <c r="AA9" s="26"/>
      <c r="AB9" s="26"/>
    </row>
    <row r="10" spans="1:28" ht="100.5" customHeight="1">
      <c r="A10" s="26"/>
      <c r="B10" s="27"/>
      <c r="C10" s="302"/>
      <c r="D10" s="301"/>
      <c r="E10" s="784"/>
      <c r="F10" s="785"/>
      <c r="G10" s="784"/>
      <c r="H10" s="785"/>
      <c r="I10" s="300"/>
      <c r="J10" s="301"/>
      <c r="K10" s="28"/>
      <c r="L10" s="26"/>
      <c r="M10" s="26"/>
      <c r="N10" s="26"/>
      <c r="O10" s="26"/>
      <c r="P10" s="26"/>
      <c r="Q10" s="26"/>
      <c r="R10" s="26"/>
      <c r="S10" s="26"/>
      <c r="T10" s="26"/>
      <c r="U10" s="26"/>
      <c r="V10" s="26"/>
      <c r="W10" s="26"/>
      <c r="X10" s="26"/>
      <c r="Y10" s="26"/>
      <c r="Z10" s="26"/>
      <c r="AA10" s="26"/>
      <c r="AB10" s="26"/>
    </row>
    <row r="11" spans="1:28" ht="102.75" customHeight="1">
      <c r="A11" s="26"/>
      <c r="B11" s="27"/>
      <c r="C11" s="302"/>
      <c r="D11" s="301"/>
      <c r="E11" s="784"/>
      <c r="F11" s="785"/>
      <c r="G11" s="784"/>
      <c r="H11" s="785"/>
      <c r="I11" s="300"/>
      <c r="J11" s="301"/>
      <c r="K11" s="28"/>
      <c r="L11" s="26"/>
      <c r="M11" s="26"/>
      <c r="N11" s="26"/>
      <c r="O11" s="26"/>
      <c r="P11" s="26"/>
      <c r="Q11" s="26"/>
      <c r="R11" s="26"/>
      <c r="S11" s="26"/>
      <c r="T11" s="26"/>
      <c r="U11" s="26"/>
      <c r="V11" s="26"/>
      <c r="W11" s="26"/>
      <c r="X11" s="26"/>
      <c r="Y11" s="26"/>
      <c r="Z11" s="26"/>
      <c r="AA11" s="26"/>
      <c r="AB11" s="26"/>
    </row>
    <row r="12" spans="1:28" ht="14.25" customHeight="1">
      <c r="A12" s="26"/>
      <c r="B12" s="60"/>
      <c r="C12" s="64"/>
      <c r="D12" s="64"/>
      <c r="E12" s="64"/>
      <c r="F12" s="64"/>
      <c r="G12" s="64"/>
      <c r="H12" s="64"/>
      <c r="I12" s="64"/>
      <c r="J12" s="64"/>
      <c r="K12" s="65"/>
      <c r="L12" s="26"/>
      <c r="M12" s="26"/>
      <c r="N12" s="26"/>
      <c r="O12" s="26"/>
      <c r="P12" s="26"/>
      <c r="Q12" s="26"/>
      <c r="R12" s="26"/>
      <c r="S12" s="26"/>
      <c r="T12" s="26"/>
      <c r="U12" s="26"/>
      <c r="V12" s="26"/>
      <c r="W12" s="26"/>
      <c r="X12" s="26"/>
      <c r="Y12" s="26"/>
      <c r="Z12" s="26"/>
      <c r="AA12" s="26"/>
      <c r="AB12" s="26"/>
    </row>
    <row r="13" spans="1:28" ht="39.950000000000003" customHeight="1">
      <c r="A13" s="26"/>
      <c r="B13" s="60"/>
      <c r="C13" s="778" t="s">
        <v>530</v>
      </c>
      <c r="D13" s="707"/>
      <c r="E13" s="707"/>
      <c r="F13" s="707"/>
      <c r="G13" s="707"/>
      <c r="H13" s="707"/>
      <c r="I13" s="707"/>
      <c r="J13" s="705"/>
      <c r="K13" s="65"/>
      <c r="L13" s="26"/>
      <c r="M13" s="26"/>
      <c r="N13" s="26"/>
      <c r="O13" s="26"/>
      <c r="P13" s="26"/>
      <c r="Q13" s="26"/>
      <c r="R13" s="26"/>
      <c r="S13" s="26"/>
      <c r="T13" s="26"/>
      <c r="U13" s="26"/>
      <c r="V13" s="26"/>
      <c r="W13" s="26"/>
      <c r="X13" s="26"/>
      <c r="Y13" s="26"/>
      <c r="Z13" s="26"/>
      <c r="AA13" s="26"/>
      <c r="AB13" s="26"/>
    </row>
    <row r="14" spans="1:28" ht="21.75" customHeight="1">
      <c r="A14" s="26"/>
      <c r="B14" s="60"/>
      <c r="C14" s="64"/>
      <c r="D14" s="64"/>
      <c r="E14" s="64"/>
      <c r="F14" s="64"/>
      <c r="G14" s="64"/>
      <c r="H14" s="64"/>
      <c r="I14" s="64"/>
      <c r="J14" s="64"/>
      <c r="K14" s="65"/>
      <c r="L14" s="26"/>
      <c r="M14" s="26"/>
      <c r="N14" s="26"/>
      <c r="O14" s="26"/>
      <c r="P14" s="26"/>
      <c r="Q14" s="26"/>
      <c r="R14" s="26"/>
      <c r="S14" s="26"/>
      <c r="T14" s="26"/>
      <c r="U14" s="26"/>
      <c r="V14" s="26"/>
      <c r="W14" s="26"/>
      <c r="X14" s="26"/>
      <c r="Y14" s="26"/>
      <c r="Z14" s="26"/>
      <c r="AA14" s="26"/>
      <c r="AB14" s="26"/>
    </row>
    <row r="15" spans="1:28" ht="18.75" customHeight="1">
      <c r="A15" s="26"/>
      <c r="B15" s="60"/>
      <c r="C15" s="66" t="s">
        <v>531</v>
      </c>
      <c r="D15" s="64"/>
      <c r="E15" s="64"/>
      <c r="F15" s="64"/>
      <c r="G15" s="64"/>
      <c r="H15" s="64"/>
      <c r="I15" s="64"/>
      <c r="J15" s="64"/>
      <c r="K15" s="30"/>
      <c r="L15" s="26"/>
      <c r="M15" s="26"/>
      <c r="N15" s="26"/>
      <c r="O15" s="26"/>
      <c r="P15" s="26"/>
      <c r="Q15" s="26"/>
      <c r="R15" s="26"/>
      <c r="S15" s="26"/>
      <c r="T15" s="26"/>
      <c r="U15" s="26"/>
      <c r="V15" s="26"/>
      <c r="W15" s="26"/>
      <c r="X15" s="26"/>
      <c r="Y15" s="26"/>
      <c r="Z15" s="26"/>
      <c r="AA15" s="26"/>
      <c r="AB15" s="26"/>
    </row>
    <row r="16" spans="1:28" ht="14.25" customHeight="1">
      <c r="A16" s="26"/>
      <c r="B16" s="27"/>
      <c r="C16" s="61"/>
      <c r="D16" s="61"/>
      <c r="E16" s="779" t="s">
        <v>524</v>
      </c>
      <c r="F16" s="707"/>
      <c r="G16" s="707"/>
      <c r="H16" s="705"/>
      <c r="I16" s="61"/>
      <c r="J16" s="61"/>
      <c r="K16" s="62"/>
      <c r="L16" s="26"/>
      <c r="M16" s="26"/>
      <c r="N16" s="26"/>
      <c r="O16" s="26"/>
      <c r="P16" s="26"/>
      <c r="Q16" s="26"/>
      <c r="R16" s="26"/>
      <c r="S16" s="26"/>
      <c r="T16" s="26"/>
      <c r="U16" s="26"/>
      <c r="V16" s="26"/>
      <c r="W16" s="26"/>
      <c r="X16" s="26"/>
      <c r="Y16" s="26"/>
      <c r="Z16" s="26"/>
      <c r="AA16" s="26"/>
      <c r="AB16" s="26"/>
    </row>
    <row r="17" spans="1:28" ht="47.25" customHeight="1">
      <c r="A17" s="26"/>
      <c r="B17" s="27"/>
      <c r="C17" s="61" t="s">
        <v>532</v>
      </c>
      <c r="D17" s="61" t="s">
        <v>533</v>
      </c>
      <c r="E17" s="779" t="s">
        <v>534</v>
      </c>
      <c r="F17" s="705"/>
      <c r="G17" s="779" t="s">
        <v>535</v>
      </c>
      <c r="H17" s="705"/>
      <c r="I17" s="61" t="s">
        <v>11</v>
      </c>
      <c r="J17" s="61" t="s">
        <v>529</v>
      </c>
      <c r="K17" s="28"/>
      <c r="L17" s="26"/>
      <c r="M17" s="26"/>
      <c r="N17" s="26"/>
      <c r="O17" s="26"/>
      <c r="P17" s="26"/>
      <c r="Q17" s="26"/>
      <c r="R17" s="26"/>
      <c r="S17" s="26"/>
      <c r="T17" s="26"/>
      <c r="U17" s="26"/>
      <c r="V17" s="26"/>
      <c r="W17" s="26"/>
      <c r="X17" s="26"/>
      <c r="Y17" s="26"/>
      <c r="Z17" s="26"/>
      <c r="AA17" s="26"/>
      <c r="AB17" s="26"/>
    </row>
    <row r="18" spans="1:28" ht="159.94999999999999" customHeight="1">
      <c r="A18" s="26"/>
      <c r="B18" s="27"/>
      <c r="C18" s="303"/>
      <c r="D18" s="304"/>
      <c r="E18" s="304"/>
      <c r="F18" s="304"/>
      <c r="G18" s="780"/>
      <c r="H18" s="781"/>
      <c r="I18" s="300"/>
      <c r="J18" s="304"/>
      <c r="K18" s="28"/>
      <c r="L18" s="26"/>
      <c r="M18" s="26"/>
      <c r="N18" s="26"/>
      <c r="O18" s="26"/>
      <c r="P18" s="26"/>
      <c r="Q18" s="26"/>
      <c r="R18" s="26"/>
      <c r="S18" s="26"/>
      <c r="T18" s="26"/>
      <c r="U18" s="26"/>
      <c r="V18" s="26"/>
      <c r="W18" s="26"/>
      <c r="X18" s="26"/>
      <c r="Y18" s="26"/>
      <c r="Z18" s="26"/>
      <c r="AA18" s="26"/>
      <c r="AB18" s="26"/>
    </row>
    <row r="19" spans="1:28" ht="139.5" customHeight="1">
      <c r="A19" s="26"/>
      <c r="B19" s="27"/>
      <c r="C19" s="303"/>
      <c r="D19" s="304"/>
      <c r="E19" s="304"/>
      <c r="F19" s="304"/>
      <c r="G19" s="780"/>
      <c r="H19" s="781"/>
      <c r="I19" s="300"/>
      <c r="J19" s="304"/>
      <c r="K19" s="28"/>
      <c r="L19" s="26"/>
      <c r="M19" s="26"/>
      <c r="N19" s="26"/>
      <c r="O19" s="26"/>
      <c r="P19" s="26"/>
      <c r="Q19" s="26"/>
      <c r="R19" s="26"/>
      <c r="S19" s="26"/>
      <c r="T19" s="26"/>
      <c r="U19" s="26"/>
      <c r="V19" s="26"/>
      <c r="W19" s="26"/>
      <c r="X19" s="26"/>
      <c r="Y19" s="26"/>
      <c r="Z19" s="26"/>
      <c r="AA19" s="26"/>
      <c r="AB19" s="26"/>
    </row>
    <row r="20" spans="1:28" ht="85.5" customHeight="1">
      <c r="A20" s="26"/>
      <c r="B20" s="27"/>
      <c r="C20" s="303"/>
      <c r="D20" s="304"/>
      <c r="E20" s="304"/>
      <c r="F20" s="304"/>
      <c r="G20" s="780"/>
      <c r="H20" s="781"/>
      <c r="I20" s="300"/>
      <c r="J20" s="304"/>
      <c r="K20" s="28"/>
      <c r="L20" s="26"/>
      <c r="M20" s="26"/>
      <c r="N20" s="26"/>
      <c r="O20" s="26"/>
      <c r="P20" s="26"/>
      <c r="Q20" s="26"/>
      <c r="R20" s="26"/>
      <c r="S20" s="26"/>
      <c r="T20" s="26"/>
      <c r="U20" s="26"/>
      <c r="V20" s="26"/>
      <c r="W20" s="26"/>
      <c r="X20" s="26"/>
      <c r="Y20" s="26"/>
      <c r="Z20" s="26"/>
      <c r="AA20" s="26"/>
      <c r="AB20" s="26"/>
    </row>
    <row r="21" spans="1:28" ht="14.25" customHeight="1">
      <c r="A21" s="26"/>
      <c r="B21" s="60"/>
      <c r="C21" s="64"/>
      <c r="D21" s="64"/>
      <c r="E21" s="64"/>
      <c r="F21" s="64"/>
      <c r="G21" s="64"/>
      <c r="H21" s="64"/>
      <c r="I21" s="64"/>
      <c r="J21" s="64"/>
      <c r="K21" s="65"/>
      <c r="L21" s="26"/>
      <c r="M21" s="26"/>
      <c r="N21" s="26"/>
      <c r="O21" s="26"/>
      <c r="P21" s="26"/>
      <c r="Q21" s="26"/>
      <c r="R21" s="26"/>
      <c r="S21" s="26"/>
      <c r="T21" s="26"/>
      <c r="U21" s="26"/>
      <c r="V21" s="26"/>
      <c r="W21" s="26"/>
      <c r="X21" s="26"/>
      <c r="Y21" s="26"/>
      <c r="Z21" s="26"/>
      <c r="AA21" s="26"/>
      <c r="AB21" s="26"/>
    </row>
    <row r="22" spans="1:28" ht="14.25" customHeight="1">
      <c r="A22" s="26"/>
      <c r="B22" s="60"/>
      <c r="C22" s="64"/>
      <c r="D22" s="64"/>
      <c r="E22" s="64"/>
      <c r="F22" s="64"/>
      <c r="G22" s="64"/>
      <c r="H22" s="64"/>
      <c r="I22" s="64"/>
      <c r="J22" s="64"/>
      <c r="K22" s="65"/>
      <c r="L22" s="26"/>
      <c r="M22" s="26"/>
      <c r="N22" s="26"/>
      <c r="O22" s="26"/>
      <c r="P22" s="26"/>
      <c r="Q22" s="26"/>
      <c r="R22" s="26"/>
      <c r="S22" s="26"/>
      <c r="T22" s="26"/>
      <c r="U22" s="26"/>
      <c r="V22" s="26"/>
      <c r="W22" s="26"/>
      <c r="X22" s="26"/>
      <c r="Y22" s="26"/>
      <c r="Z22" s="26"/>
      <c r="AA22" s="26"/>
      <c r="AB22" s="26"/>
    </row>
    <row r="23" spans="1:28" ht="32.450000000000003" customHeight="1">
      <c r="A23" s="26"/>
      <c r="B23" s="60"/>
      <c r="C23" s="778" t="s">
        <v>530</v>
      </c>
      <c r="D23" s="707"/>
      <c r="E23" s="707"/>
      <c r="F23" s="707"/>
      <c r="G23" s="707"/>
      <c r="H23" s="707"/>
      <c r="I23" s="707"/>
      <c r="J23" s="705"/>
      <c r="K23" s="67"/>
      <c r="L23" s="26"/>
      <c r="M23" s="26"/>
      <c r="N23" s="26"/>
      <c r="O23" s="26"/>
      <c r="P23" s="26"/>
      <c r="Q23" s="26"/>
      <c r="R23" s="26"/>
      <c r="S23" s="26"/>
      <c r="T23" s="26"/>
      <c r="U23" s="26"/>
      <c r="V23" s="26"/>
      <c r="W23" s="26"/>
      <c r="X23" s="26"/>
      <c r="Y23" s="26"/>
      <c r="Z23" s="26"/>
      <c r="AA23" s="26"/>
      <c r="AB23" s="26"/>
    </row>
    <row r="24" spans="1:28" ht="20.25" customHeight="1">
      <c r="A24" s="26"/>
      <c r="B24" s="762"/>
      <c r="C24" s="739"/>
      <c r="D24" s="739"/>
      <c r="E24" s="739"/>
      <c r="F24" s="739"/>
      <c r="G24" s="739"/>
      <c r="H24" s="739"/>
      <c r="I24" s="739"/>
      <c r="J24" s="739"/>
      <c r="K24" s="754"/>
      <c r="L24" s="26"/>
      <c r="M24" s="26"/>
      <c r="N24" s="26"/>
      <c r="O24" s="26"/>
      <c r="P24" s="26"/>
      <c r="Q24" s="26"/>
      <c r="R24" s="26"/>
      <c r="S24" s="26"/>
      <c r="T24" s="26"/>
      <c r="U24" s="26"/>
      <c r="V24" s="26"/>
      <c r="W24" s="26"/>
      <c r="X24" s="26"/>
      <c r="Y24" s="26"/>
      <c r="Z24" s="26"/>
      <c r="AA24" s="26"/>
      <c r="AB24" s="26"/>
    </row>
    <row r="25" spans="1:28" ht="30" customHeight="1">
      <c r="A25" s="26"/>
      <c r="B25" s="68"/>
      <c r="C25" s="768"/>
      <c r="D25" s="705"/>
      <c r="E25" s="6"/>
      <c r="F25" s="768" t="s">
        <v>576</v>
      </c>
      <c r="G25" s="776"/>
      <c r="H25" s="6"/>
      <c r="I25" s="768" t="s">
        <v>575</v>
      </c>
      <c r="J25" s="776"/>
      <c r="K25" s="69"/>
      <c r="L25" s="26"/>
      <c r="M25" s="26"/>
      <c r="N25" s="26"/>
      <c r="O25" s="26"/>
      <c r="P25" s="26"/>
      <c r="Q25" s="26"/>
      <c r="R25" s="26"/>
      <c r="S25" s="26"/>
      <c r="T25" s="26"/>
      <c r="U25" s="26"/>
      <c r="V25" s="26"/>
      <c r="W25" s="26"/>
      <c r="X25" s="26"/>
      <c r="Y25" s="26"/>
      <c r="Z25" s="26"/>
      <c r="AA25" s="26"/>
      <c r="AB25" s="26"/>
    </row>
    <row r="26" spans="1:28" ht="14.25" customHeight="1">
      <c r="A26" s="26"/>
      <c r="B26" s="60"/>
      <c r="C26" s="777" t="s">
        <v>407</v>
      </c>
      <c r="D26" s="705"/>
      <c r="E26" s="6"/>
      <c r="F26" s="777" t="s">
        <v>408</v>
      </c>
      <c r="G26" s="705"/>
      <c r="H26" s="6"/>
      <c r="I26" s="777" t="s">
        <v>409</v>
      </c>
      <c r="J26" s="705"/>
      <c r="K26" s="67"/>
      <c r="L26" s="26"/>
      <c r="M26" s="26"/>
      <c r="N26" s="26"/>
      <c r="O26" s="26"/>
      <c r="P26" s="26"/>
      <c r="Q26" s="26"/>
      <c r="R26" s="26"/>
      <c r="S26" s="26"/>
      <c r="T26" s="26"/>
      <c r="U26" s="26"/>
      <c r="V26" s="26"/>
      <c r="W26" s="26"/>
      <c r="X26" s="26"/>
      <c r="Y26" s="26"/>
      <c r="Z26" s="26"/>
      <c r="AA26" s="26"/>
      <c r="AB26" s="26"/>
    </row>
    <row r="27" spans="1:28" ht="14.25" customHeight="1">
      <c r="A27" s="26"/>
      <c r="B27" s="70"/>
      <c r="C27" s="71"/>
      <c r="D27" s="71"/>
      <c r="E27" s="71"/>
      <c r="F27" s="71"/>
      <c r="G27" s="71"/>
      <c r="H27" s="71"/>
      <c r="I27" s="71"/>
      <c r="J27" s="71"/>
      <c r="K27" s="72"/>
      <c r="L27" s="26"/>
      <c r="M27" s="26"/>
      <c r="N27" s="26"/>
      <c r="O27" s="26"/>
      <c r="P27" s="26"/>
      <c r="Q27" s="26"/>
      <c r="R27" s="26"/>
      <c r="S27" s="26"/>
      <c r="T27" s="26"/>
      <c r="U27" s="26"/>
      <c r="V27" s="26"/>
      <c r="W27" s="26"/>
      <c r="X27" s="26"/>
      <c r="Y27" s="26"/>
      <c r="Z27" s="26"/>
      <c r="AA27" s="26"/>
      <c r="AB27" s="26"/>
    </row>
    <row r="28" spans="1:28" ht="14.2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row>
    <row r="29" spans="1:28" ht="14.2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row>
    <row r="30" spans="1:28" ht="14.25" customHeight="1">
      <c r="A30" s="26"/>
      <c r="B30" s="26"/>
      <c r="C30" s="26"/>
      <c r="D30" s="26"/>
      <c r="E30" s="26"/>
      <c r="F30" s="26"/>
      <c r="G30" s="5"/>
      <c r="H30" s="5"/>
      <c r="I30" s="26"/>
      <c r="J30" s="26"/>
      <c r="K30" s="26"/>
      <c r="L30" s="26"/>
      <c r="M30" s="26"/>
      <c r="N30" s="26"/>
      <c r="O30" s="26"/>
      <c r="P30" s="26"/>
      <c r="Q30" s="26"/>
      <c r="R30" s="26"/>
      <c r="S30" s="26"/>
      <c r="T30" s="26"/>
      <c r="U30" s="26"/>
      <c r="V30" s="26"/>
      <c r="W30" s="26"/>
      <c r="X30" s="26"/>
      <c r="Y30" s="26"/>
      <c r="Z30" s="26"/>
      <c r="AA30" s="26"/>
      <c r="AB30" s="26"/>
    </row>
    <row r="31" spans="1:28" ht="14.2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row>
    <row r="32" spans="1:28" ht="14.2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row>
    <row r="33" spans="1:28" ht="14.2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row>
    <row r="34" spans="1:28" ht="14.2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row>
    <row r="35" spans="1:28" ht="14.2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row>
    <row r="36" spans="1:28" ht="14.2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row>
    <row r="37" spans="1:28" ht="14.2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row>
    <row r="38" spans="1:28" ht="14.2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row>
    <row r="39" spans="1:28" ht="14.2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row>
    <row r="40" spans="1:28" ht="14.2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row>
    <row r="41" spans="1:28" ht="14.2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row>
    <row r="42" spans="1:28" ht="14.2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row>
    <row r="43" spans="1:28" ht="14.2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row>
    <row r="44" spans="1:28" ht="14.2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row>
    <row r="45" spans="1:28" ht="14.2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row>
    <row r="46" spans="1:28" ht="14.2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row>
    <row r="47" spans="1:28" ht="14.2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row>
    <row r="48" spans="1:28" ht="14.2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row>
    <row r="49" spans="1:28" ht="14.2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row>
    <row r="50" spans="1:28" ht="14.2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row>
    <row r="51" spans="1:28" ht="14.2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row>
    <row r="52" spans="1:28" ht="14.2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row>
    <row r="53" spans="1:28" ht="14.2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row>
    <row r="54" spans="1:28" ht="14.2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row>
    <row r="55" spans="1:28" ht="14.2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row>
    <row r="56" spans="1:28" ht="14.2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row>
    <row r="57" spans="1:28" ht="14.2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row>
    <row r="58" spans="1:28" ht="14.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row>
    <row r="59" spans="1:28" ht="14.2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row>
    <row r="60" spans="1:28"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row>
    <row r="61" spans="1:28"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row>
    <row r="62" spans="1:28"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row>
    <row r="63" spans="1:28"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row>
    <row r="64" spans="1:28"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row>
    <row r="65" spans="1:28"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row>
    <row r="66" spans="1:28"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row>
    <row r="67" spans="1:28"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row>
    <row r="68" spans="1:28"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row>
    <row r="69" spans="1:28"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row>
    <row r="70" spans="1:28"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row>
    <row r="71" spans="1:28"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row>
    <row r="72" spans="1:28"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row>
    <row r="73" spans="1:28"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row>
    <row r="74" spans="1:28"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row>
    <row r="75" spans="1:28"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row>
    <row r="76" spans="1:28"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row>
    <row r="77" spans="1:28"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row>
    <row r="78" spans="1:28"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row>
    <row r="79" spans="1:28"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row>
    <row r="80" spans="1:28"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row>
    <row r="81" spans="1:28"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row>
    <row r="82" spans="1:28"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row>
    <row r="83" spans="1:28"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row>
    <row r="84" spans="1:28"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row>
    <row r="85" spans="1:28"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row>
    <row r="86" spans="1:28"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row>
    <row r="87" spans="1:28"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row>
    <row r="88" spans="1:28"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row>
    <row r="89" spans="1:28"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row>
    <row r="90" spans="1:28"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row>
    <row r="91" spans="1:28"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row>
    <row r="92" spans="1:28"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row>
    <row r="93" spans="1:28"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row>
    <row r="94" spans="1:28"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row>
    <row r="95" spans="1:28"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row>
    <row r="96" spans="1:28"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row>
    <row r="97" spans="1:28"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row>
    <row r="98" spans="1:2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row>
    <row r="99" spans="1:28"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row>
    <row r="100" spans="1:28"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row>
    <row r="101" spans="1:28"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row>
    <row r="102" spans="1:28"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row>
    <row r="103" spans="1:28"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row>
    <row r="104" spans="1:28"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row>
    <row r="105" spans="1:28"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row>
    <row r="106" spans="1:28"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row>
    <row r="107" spans="1:28"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row>
    <row r="108" spans="1:2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row>
    <row r="109" spans="1:28"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row>
    <row r="110" spans="1:28"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row>
    <row r="111" spans="1:28"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row>
    <row r="112" spans="1:28"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row>
    <row r="113" spans="1:28"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row>
    <row r="114" spans="1:28"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row>
    <row r="115" spans="1:28"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row>
    <row r="116" spans="1:28"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row>
    <row r="117" spans="1:28"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row>
    <row r="118" spans="1:2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row>
    <row r="119" spans="1:28"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row>
    <row r="120" spans="1:28"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row>
    <row r="121" spans="1:28"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row>
    <row r="122" spans="1:28"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row>
    <row r="123" spans="1:28"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row>
    <row r="124" spans="1:28"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row>
    <row r="125" spans="1:28"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row>
    <row r="126" spans="1:28"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row>
    <row r="127" spans="1:28"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row>
    <row r="128" spans="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row>
    <row r="129" spans="1:28"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row>
    <row r="130" spans="1:28"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row>
    <row r="131" spans="1:28"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row>
    <row r="132" spans="1:28"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row>
    <row r="133" spans="1:28"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row>
    <row r="134" spans="1:28"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row>
    <row r="135" spans="1:28"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row>
    <row r="136" spans="1:28"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row>
    <row r="137" spans="1:28"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row>
    <row r="138" spans="1:2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row>
    <row r="139" spans="1:28"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row>
    <row r="140" spans="1:28"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row>
    <row r="141" spans="1:28"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row>
    <row r="142" spans="1:28"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row>
    <row r="143" spans="1:28"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row>
    <row r="144" spans="1:28"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row>
    <row r="145" spans="1:28"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row>
    <row r="146" spans="1:28"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row>
    <row r="147" spans="1:28"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row>
    <row r="148" spans="1:2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row>
    <row r="149" spans="1:28"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row>
    <row r="150" spans="1:28"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row>
    <row r="151" spans="1:28"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row>
    <row r="152" spans="1:28"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row>
    <row r="153" spans="1:28"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row>
    <row r="154" spans="1:28"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row>
    <row r="155" spans="1:28"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row>
    <row r="156" spans="1:28"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row>
    <row r="157" spans="1:28"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row>
    <row r="158" spans="1:2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row>
    <row r="159" spans="1:28"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row>
    <row r="160" spans="1:28"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row>
    <row r="161" spans="1:28"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row>
    <row r="162" spans="1:28"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row>
    <row r="163" spans="1:28"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row>
    <row r="164" spans="1:28"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row>
    <row r="165" spans="1:28"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row>
    <row r="166" spans="1:28"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row>
    <row r="167" spans="1:28"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row>
    <row r="168" spans="1:2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row>
    <row r="169" spans="1:28"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row>
    <row r="170" spans="1:28"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row>
    <row r="171" spans="1:28"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row>
    <row r="172" spans="1:28"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row>
    <row r="173" spans="1:28"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row>
    <row r="174" spans="1:28"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row>
    <row r="175" spans="1:28"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row>
    <row r="176" spans="1:28"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row>
    <row r="177" spans="1:28"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row>
    <row r="178" spans="1:2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row>
    <row r="179" spans="1:28"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row>
    <row r="180" spans="1:28"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row>
    <row r="181" spans="1:28"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row>
    <row r="182" spans="1:28"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row>
    <row r="183" spans="1:28"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row>
    <row r="184" spans="1:28"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row>
    <row r="185" spans="1:28"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row>
    <row r="186" spans="1:28"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row>
    <row r="187" spans="1:28"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row>
    <row r="188" spans="1:2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row>
    <row r="189" spans="1:28"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row>
    <row r="190" spans="1:28"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row>
    <row r="191" spans="1:28"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row>
    <row r="192" spans="1:28"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row>
    <row r="193" spans="1:28"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row>
    <row r="194" spans="1:28"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row>
    <row r="195" spans="1:28"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row>
    <row r="196" spans="1:28"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row>
    <row r="197" spans="1:28"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row>
    <row r="198" spans="1:2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row>
    <row r="199" spans="1:28"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row>
    <row r="200" spans="1:28"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row>
    <row r="201" spans="1:28"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row>
    <row r="202" spans="1:28"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row>
    <row r="203" spans="1:28"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row>
    <row r="204" spans="1:28"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row>
    <row r="205" spans="1:28"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row>
    <row r="206" spans="1:28"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row>
    <row r="207" spans="1:28"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row>
    <row r="208" spans="1:2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row>
    <row r="209" spans="1:28"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row>
    <row r="210" spans="1:28"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row>
    <row r="211" spans="1:28"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row>
    <row r="212" spans="1:28"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row>
    <row r="213" spans="1:28"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row>
    <row r="214" spans="1:28"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row>
    <row r="215" spans="1:28"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row>
    <row r="216" spans="1:28"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row>
    <row r="217" spans="1:28"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row>
    <row r="218" spans="1:2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row>
    <row r="219" spans="1:28"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row>
    <row r="220" spans="1:28"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row>
    <row r="221" spans="1:28"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row>
    <row r="222" spans="1:28"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row>
    <row r="223" spans="1:28"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row>
    <row r="224" spans="1:28"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row>
    <row r="225" spans="1:28"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row>
    <row r="226" spans="1:28"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row>
    <row r="227" spans="1:28"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sheetData>
  <mergeCells count="26">
    <mergeCell ref="B1:K1"/>
    <mergeCell ref="C4:J4"/>
    <mergeCell ref="E7:H7"/>
    <mergeCell ref="E8:F8"/>
    <mergeCell ref="G8:H8"/>
    <mergeCell ref="E9:F9"/>
    <mergeCell ref="G9:H9"/>
    <mergeCell ref="E10:F10"/>
    <mergeCell ref="G10:H10"/>
    <mergeCell ref="E11:F11"/>
    <mergeCell ref="G11:H11"/>
    <mergeCell ref="C13:J13"/>
    <mergeCell ref="E16:H16"/>
    <mergeCell ref="G17:H17"/>
    <mergeCell ref="C23:J23"/>
    <mergeCell ref="B24:K24"/>
    <mergeCell ref="E17:F17"/>
    <mergeCell ref="G18:H18"/>
    <mergeCell ref="G19:H19"/>
    <mergeCell ref="G20:H20"/>
    <mergeCell ref="C25:D25"/>
    <mergeCell ref="F25:G25"/>
    <mergeCell ref="I25:J25"/>
    <mergeCell ref="C26:D26"/>
    <mergeCell ref="F26:G26"/>
    <mergeCell ref="I26:J26"/>
  </mergeCells>
  <printOptions gridLines="1"/>
  <pageMargins left="0.89722222222222225" right="0.70866141732283505" top="0.33298611111111109" bottom="0.23948120915032681" header="0" footer="0"/>
  <pageSetup paperSize="14" scale="45"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PART I (CY 2025 &amp; SY2025-2026)</vt:lpstr>
      <vt:lpstr>PART II</vt:lpstr>
      <vt:lpstr>PART III</vt:lpstr>
      <vt:lpstr>PART IV</vt:lpstr>
      <vt:lpstr>'PART I (CY 2025 &amp; SY2025-2026)'!Print_Area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Cyberthon De Asis</dc:creator>
  <cp:lastModifiedBy>John Kenneth Ang</cp:lastModifiedBy>
  <cp:lastPrinted>2026-05-20T05:55:29Z</cp:lastPrinted>
  <dcterms:created xsi:type="dcterms:W3CDTF">2025-09-26T11:02:48Z</dcterms:created>
  <dcterms:modified xsi:type="dcterms:W3CDTF">2026-09-29T10:06:15Z</dcterms:modified>
</cp:coreProperties>
</file>