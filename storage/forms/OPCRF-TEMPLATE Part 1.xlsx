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xampp\htdocs\smartapp\storage\forms\"/>
    </mc:Choice>
  </mc:AlternateContent>
  <xr:revisionPtr revIDLastSave="0" documentId="13_ncr:1_{20EA3341-9A06-45F7-896C-0E9468DCBE22}" xr6:coauthVersionLast="47" xr6:coauthVersionMax="47" xr10:uidLastSave="{00000000-0000-0000-0000-000000000000}"/>
  <bookViews>
    <workbookView xWindow="-120" yWindow="-120" windowWidth="24240" windowHeight="13020" xr2:uid="{00000000-000D-0000-FFFF-FFFF00000000}"/>
  </bookViews>
  <sheets>
    <sheet name="PART I (CY 2025 &amp; SY2025-2026)" sheetId="1" r:id="rId1"/>
  </sheets>
  <definedNames>
    <definedName name="_xlnm.Print_Area" localSheetId="0">'PART I (CY 2025 &amp; SY2025-2026)'!$B$1:$V$156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vcjvau/8wB+FsG4YXLefzX0tLAn84hFMDUP2dA3p3WY="/>
    </ext>
  </extLst>
</workbook>
</file>

<file path=xl/calcChain.xml><?xml version="1.0" encoding="utf-8"?>
<calcChain xmlns="http://schemas.openxmlformats.org/spreadsheetml/2006/main">
  <c r="U19" i="1" l="1"/>
  <c r="U86" i="1"/>
  <c r="V86" i="1" s="1"/>
  <c r="U40" i="1"/>
  <c r="V40" i="1" s="1"/>
  <c r="D151" i="1" l="1"/>
  <c r="U125" i="1"/>
  <c r="V125" i="1" s="1"/>
  <c r="U122" i="1"/>
  <c r="V122" i="1" s="1"/>
  <c r="U119" i="1"/>
  <c r="V119" i="1" s="1"/>
  <c r="U92" i="1"/>
  <c r="V92" i="1" s="1"/>
  <c r="U89" i="1"/>
  <c r="V89" i="1" s="1"/>
  <c r="U83" i="1"/>
  <c r="V83" i="1" s="1"/>
  <c r="U73" i="1"/>
  <c r="V73" i="1" s="1"/>
  <c r="U70" i="1"/>
  <c r="V70" i="1" s="1"/>
  <c r="U67" i="1"/>
  <c r="V67" i="1" s="1"/>
  <c r="U64" i="1"/>
  <c r="V64" i="1" s="1"/>
  <c r="U61" i="1"/>
  <c r="V61" i="1" s="1"/>
  <c r="U58" i="1"/>
  <c r="V58" i="1" s="1"/>
  <c r="U55" i="1"/>
  <c r="V55" i="1" s="1"/>
  <c r="U52" i="1"/>
  <c r="V52" i="1" s="1"/>
  <c r="U49" i="1"/>
  <c r="V49" i="1" s="1"/>
  <c r="U46" i="1"/>
  <c r="V46" i="1" s="1"/>
  <c r="U43" i="1"/>
  <c r="V43" i="1" s="1"/>
  <c r="U37" i="1"/>
  <c r="V37" i="1" s="1"/>
  <c r="U25" i="1"/>
  <c r="V25" i="1" s="1"/>
  <c r="U22" i="1"/>
  <c r="V22" i="1" s="1"/>
  <c r="V19" i="1"/>
  <c r="U16" i="1"/>
  <c r="V112" i="1" l="1"/>
  <c r="V76" i="1"/>
  <c r="V1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16" authorId="0" shapeId="0" xr:uid="{00000000-0006-0000-0000-000001000000}">
      <text>
        <r>
          <rPr>
            <sz val="11"/>
            <color theme="1"/>
            <rFont val="Aptos Narrow"/>
            <scheme val="minor"/>
          </rPr>
          <t>======
ID#AAABrlInFuI
tc={F461A50B-A9EF-C140-9765-88D1576B05CD}    (2024-01-08 09:18:03)
[Threaded comment]
Your version of Excel allows you to read this threaded comment; however, any edits to it will get removed if the file is opened in a newer version of Excel. Learn more: https://go.microsoft.com/fwlink/?linkid=870924
Comment:
    Quality: based on established standards
E.g. The policies issued underwent … based on the policy formulation standards… incorporating all comment of the…
(Measure the consistency in following the process/standards of policy formulation)
Reply:
    Measured through the quality of targeted/assigned HR interventions approved by the Director with the following output indicators/elements:</t>
        </r>
      </text>
    </comment>
    <comment ref="L17" authorId="0" shapeId="0" xr:uid="{00000000-0006-0000-0000-000002000000}">
      <text>
        <r>
          <rPr>
            <sz val="11"/>
            <color theme="1"/>
            <rFont val="Aptos Narrow"/>
            <scheme val="minor"/>
          </rPr>
          <t>======
ID#AAABrlInFuE
tc={A91A47AA-777E-6241-BC4F-23E1F81DF858}    (2024-01-08 09:18:03)
[Threaded comment]
Your version of Excel allows you to read this threaded comment; however, any edits to it will get removed if the file is opened in a newer version of Excel. Learn more: https://go.microsoft.com/fwlink/?linkid=870924
Comment:
    Measured through % of policies submitted and/or presented to the Director for approval; commented upon by such and provided responses to said comments; and/or integrated into the proposed policy action document.</t>
        </r>
      </text>
    </comment>
  </commentList>
  <extLst>
    <ext xmlns:r="http://schemas.openxmlformats.org/officeDocument/2006/relationships" uri="GoogleSheetsCustomDataVersion2">
      <go:sheetsCustomData xmlns:go="http://customooxmlschemas.google.com/" r:id="rId1" roundtripDataSignature="AMtx7miTlJQKf07RAI59IHfE8mWuHjQCPg=="/>
    </ext>
  </extLst>
</comments>
</file>

<file path=xl/sharedStrings.xml><?xml version="1.0" encoding="utf-8"?>
<sst xmlns="http://schemas.openxmlformats.org/spreadsheetml/2006/main" count="658" uniqueCount="491">
  <si>
    <t>Name of Employee:</t>
  </si>
  <si>
    <t xml:space="preserve">Position/Designation: </t>
  </si>
  <si>
    <t xml:space="preserve">Position: </t>
  </si>
  <si>
    <t xml:space="preserve">Review Period:  </t>
  </si>
  <si>
    <t>Approving Authority:</t>
  </si>
  <si>
    <t xml:space="preserve">Strand/Bureau/Center/Service/Region/Division: </t>
  </si>
  <si>
    <t>Date of Review:</t>
  </si>
  <si>
    <t xml:space="preserve">Strand/Bureau/Center/Service/Region/Division Statement of Purpose: </t>
  </si>
  <si>
    <t>TO BE ACCOMPLISHED DURING PLANNING</t>
  </si>
  <si>
    <t>TO BE FILLED DURING EVALUATION</t>
  </si>
  <si>
    <t>Organizational Outcomes Alignment</t>
  </si>
  <si>
    <t>Timeline</t>
  </si>
  <si>
    <t>Weight Allocation</t>
  </si>
  <si>
    <t>Rating Scale</t>
  </si>
  <si>
    <t>Means of Verification (MOVs)</t>
  </si>
  <si>
    <t>Actual Accomplishments</t>
  </si>
  <si>
    <t>RATING
(Q,E,T)</t>
  </si>
  <si>
    <t>AVERAGE
(QET)</t>
  </si>
  <si>
    <t>WEIGHTED AVERAGE</t>
  </si>
  <si>
    <t>5
(Outstanding)</t>
  </si>
  <si>
    <t>4
(Very Satisfactory)</t>
  </si>
  <si>
    <t>3
(Satisfactory)</t>
  </si>
  <si>
    <t>2
(Unsatisfactory)</t>
  </si>
  <si>
    <t>1
(Poor)</t>
  </si>
  <si>
    <t>GAA Programs/ Subprograms</t>
  </si>
  <si>
    <t>BEDP Pillars</t>
  </si>
  <si>
    <t>Current Administration Agenda</t>
  </si>
  <si>
    <t>Education Human Resource Development Program</t>
  </si>
  <si>
    <t>X number of policies formulated, reviewed, and issued</t>
  </si>
  <si>
    <t>Human Resource Development</t>
  </si>
  <si>
    <t xml:space="preserve">Objective 1: Ensured preparation of HR policies, guidelines, and standards that are Bureau-initiated, or may be assigned by the EXECOM for issuance; compliant with PRIME-HRM standards and national guidelines geared towards competency-based HR system within the set scheduled deadline.
</t>
  </si>
  <si>
    <t>January to December 2024</t>
  </si>
  <si>
    <t>Quality</t>
  </si>
  <si>
    <t>Policy deliverables submitted followed the set standards in policy formulation and met all 5 indicators</t>
  </si>
  <si>
    <t>Efficiency</t>
  </si>
  <si>
    <t>13 out of 15 (87%) policy deliverables were submitted and/or presented to the Director and/or EXECOM for approval</t>
  </si>
  <si>
    <t>Timeliness</t>
  </si>
  <si>
    <t xml:space="preserve">Endorsed to the Office of the Director before the deadline set </t>
  </si>
  <si>
    <t xml:space="preserve">Endorsed to the Office of the Director on the deadline set </t>
  </si>
  <si>
    <t xml:space="preserve">Endorsed to the Office of the Director two weeks after the deadline 
</t>
  </si>
  <si>
    <t xml:space="preserve">Endorsed to the Office of the Director one month after the deadline </t>
  </si>
  <si>
    <t>Endorsed to the Office of the Director more than one month</t>
  </si>
  <si>
    <t>13 policy deliberables endorsed to the Office of the Director before the deadline set</t>
  </si>
  <si>
    <t xml:space="preserve">School Leadership and Administration </t>
  </si>
  <si>
    <t>Pillar 1: Access
Pillar 2: Equity
Pillar 3: Quality</t>
  </si>
  <si>
    <t>1.	High Performing Teachers 
2.	Learners’ physical and mental well-being protection 
3.	Efficient and supportive governance structure 
4.	High Quality Education</t>
  </si>
  <si>
    <t>Implemented the School Improvement Plan (SIP) through Work and Financial Plan (WFP) and Annual Implementation Plan (AIP).</t>
  </si>
  <si>
    <t>AIP activities aligned with the approved WFP and SIP</t>
  </si>
  <si>
    <t>Approved activities completed are:
a. leading towards attainment of key deliverables
b. carefully designed to suit school expectations
c. complete with necessary evidence requirements
d. activity outputs served as reference to ensure timeliness of key deliverables</t>
  </si>
  <si>
    <t>Approved activities are completed with documented non-compliance to any one (1) of the critical elements in items a, b, c, and d.</t>
  </si>
  <si>
    <t>Approved activities are completed with documented non-compliance to any one (2) of the critical elements in items a, b, c, and d.</t>
  </si>
  <si>
    <t>Approved activities   are completed with documented non-compliance to any one (3) of the critical elements in items a, b, c, and d.</t>
  </si>
  <si>
    <t>Approved activitie are completed with documented non-compliance to all the critical elements in items a, b, c, and d.</t>
  </si>
  <si>
    <t>Approved Work and Financial Plan (WFP) and Annual Implementation Plan (AIP)</t>
  </si>
  <si>
    <t>1 Work and Financial Plan (WFP)                                    1 Annual Implementation Plan (AIP)</t>
  </si>
  <si>
    <t xml:space="preserve">76-90% of AIP activities aligned with the approved SIP through Work and Financial Plan (WFP) and Annual Implementation Plan (AIP).are conducted/ implemented </t>
  </si>
  <si>
    <t xml:space="preserve">51-75%of AIP activities aligned with the approved SIP through Work and Financial Plan (WFP) and Annual Implementation Plan (AIP).are conducted/ implemented  </t>
  </si>
  <si>
    <t xml:space="preserve">26-50% of AIP activities aligned with the approved SIP through Work and Financial Plan (WFP) and Annual Implementation Plan (AIP).are conducted/ implemented  </t>
  </si>
  <si>
    <t xml:space="preserve">0-25% of AIP activities aligned with the approved SIP through Work and Financial Plan (WFP) and Annual Implementation Plan (AIP).are conducted/ implemented  </t>
  </si>
  <si>
    <t>Completed activities are ahead the targeted period of conduct</t>
  </si>
  <si>
    <t>Completed activities are within the targeted period of conduct</t>
  </si>
  <si>
    <t>Completed activities with a delay of one (1) month from the targeted period of conduct</t>
  </si>
  <si>
    <t>Completed activities with a delay of one (1) quarter from the targeted period of conduct</t>
  </si>
  <si>
    <t>Completed activities with a delay of one (1) semester from the targeted period of conduct</t>
  </si>
  <si>
    <t>Inclusive Education</t>
  </si>
  <si>
    <t>Pillar 3: Quality</t>
  </si>
  <si>
    <t xml:space="preserve">1.	High Performing Teachers  
4.	High Quality Education </t>
  </si>
  <si>
    <t>Implemented Instructional Supervision in the delivery and/or implementation of learning modalities</t>
  </si>
  <si>
    <t xml:space="preserve"> Instructional Supervision Plans</t>
  </si>
  <si>
    <t xml:space="preserve">Submitted ISPs to address school instuction improvement needs with the following indicators: a. Timeline    b. Key Focus Area    c. Target Teachers    d. IS Strategies/activities </t>
  </si>
  <si>
    <t>Submitted ISPs to address school instuction improvement needs with 3 indicators only</t>
  </si>
  <si>
    <t>Submitted ISPs to address school instuction improvement needs with 2 indicators only</t>
  </si>
  <si>
    <t>Submitted ISPs to address school instuction improvement needs with 1 indicators only</t>
  </si>
  <si>
    <t xml:space="preserve">No submitted ISPs to address school instuction improvement needs </t>
  </si>
  <si>
    <t>Approved ISP                       Approved MISAR</t>
  </si>
  <si>
    <t>Approved ISP              Approved MISAR</t>
  </si>
  <si>
    <t>10 ISPs Approved</t>
  </si>
  <si>
    <t>9 ISPs Approved</t>
  </si>
  <si>
    <t>8 ISPs Approved</t>
  </si>
  <si>
    <t>7 ISPs Approved</t>
  </si>
  <si>
    <t>less than 6 ISPs Approved</t>
  </si>
  <si>
    <t xml:space="preserve"> ISPs were submitted 5 days before the implementation  </t>
  </si>
  <si>
    <t xml:space="preserve">ISPs were submitted 3 days before the implementation  </t>
  </si>
  <si>
    <t xml:space="preserve">ISPs were submitted 2 days before the implementation  </t>
  </si>
  <si>
    <t xml:space="preserve">ISPs were submitted 1 days before the implementation  </t>
  </si>
  <si>
    <t xml:space="preserve">No submission of IS for the month </t>
  </si>
  <si>
    <t>Support to Learners and Schools</t>
  </si>
  <si>
    <t>Enabling Mechanism</t>
  </si>
  <si>
    <t>3.	Efficient and supportive governance</t>
  </si>
  <si>
    <t xml:space="preserve">Total amount genreated from partners/donors engaged/involved in the school activities/programs/projects annually:                                                       (Php 30,000 and above)
</t>
  </si>
  <si>
    <t xml:space="preserve">Any 1 delayed submission 
</t>
  </si>
  <si>
    <t xml:space="preserve">Any 2 delayed submission 
</t>
  </si>
  <si>
    <t xml:space="preserve">Any 3 delayed submissions 
</t>
  </si>
  <si>
    <t>4 or more  delayed submissions</t>
  </si>
  <si>
    <t>95-119 partners/donors engaged/involvedin the school activities/programs/projects annually - 4 pts</t>
  </si>
  <si>
    <t>Php 10,000-14,999 - 3 pts</t>
  </si>
  <si>
    <t>Php 5,000-9,999 - 2 pts</t>
  </si>
  <si>
    <t>75-94 partners/donors engaged/involved in the school activities/programs/projects annually - 3 pts</t>
  </si>
  <si>
    <t>Below Php 5,000 - 1 pt</t>
  </si>
  <si>
    <t>55-74 partners/donors engaged/involved in the school activities/programs/projects annually - 2 pts</t>
  </si>
  <si>
    <t>less than 55 partners/donors engaged/involved in the school activities/programs/projects annually - 1 pt</t>
  </si>
  <si>
    <t>Teaching and Lerning Delivery</t>
  </si>
  <si>
    <t>Support to Schools and Learners Program</t>
  </si>
  <si>
    <t>Raise education Quality through Upgraded Curriculum, Modernized Assessment and Digitally Enabled Schools</t>
  </si>
  <si>
    <t>Achieved 100% Promotion Rate of Learners in Elementary/Secondary/Integrated Schools</t>
  </si>
  <si>
    <t>Promotion Rate</t>
  </si>
  <si>
    <t>Achieved 100% Promotion Rate</t>
  </si>
  <si>
    <t>Achieved 76%-99% Promotion Rate</t>
  </si>
  <si>
    <t>Achieved 51%-75% Promotion Rate</t>
  </si>
  <si>
    <t>Achieved 26%-50% Promotion Rate</t>
  </si>
  <si>
    <t>Achieved 1%-25% Promotion Rate</t>
  </si>
  <si>
    <t>Report on Promotion Rate (School Form 6)</t>
  </si>
  <si>
    <t>Report on Promotion Rate (SF6) stamped received and signed by appropriate signatories.</t>
  </si>
  <si>
    <t>Submitted Report on Promotion on or before the deadline</t>
  </si>
  <si>
    <t>Submitted Report on Promotion 1-3 days after the deadline</t>
  </si>
  <si>
    <t>Submitted Report on Promotion 4-5 days after the deadline</t>
  </si>
  <si>
    <t>Submitted Report on Promotion 6-7 days after the deadline</t>
  </si>
  <si>
    <t>No Submitted Report</t>
  </si>
  <si>
    <t>Achieved 100% Completion Rate of Learners in Elementary/Secondary/Integrated Schools</t>
  </si>
  <si>
    <t>Graduation Rate</t>
  </si>
  <si>
    <t>Achieved 100% Graduation  Rate</t>
  </si>
  <si>
    <t>Achieved 76%-99% Graduation Rate</t>
  </si>
  <si>
    <t>Achived 51%-75% Graduation Rate</t>
  </si>
  <si>
    <t>Achieved 26%-50% Graduiation Rate</t>
  </si>
  <si>
    <t>Achieved 1%-25% Graduation Rate</t>
  </si>
  <si>
    <t>Report on Graduation Rate (Sf 6)stamped received and signed by appropriate signatories.</t>
  </si>
  <si>
    <t>Report on Graduation Rate (SF6)  stamped received and signed by appropriate signatories.</t>
  </si>
  <si>
    <t>Submitted Report on Graduation  on deadline</t>
  </si>
  <si>
    <t>Submitted Report on Graduation 1-3 days after the deadline</t>
  </si>
  <si>
    <t>Submitted Report on Completion  4-5 days after  the deadline</t>
  </si>
  <si>
    <t>Submitted Report on Completion 6-7 days after the deadline</t>
  </si>
  <si>
    <t>Report on Graduation was not submitted</t>
  </si>
  <si>
    <t>Improved the Quarterly Assessment Result in Elementary/Secondary/ Integrated School</t>
  </si>
  <si>
    <t>4 (1 per quarter)</t>
  </si>
  <si>
    <t>Quarterly Assessment with Analysis</t>
  </si>
  <si>
    <t>Achieved  80-100% MPS result with analysis</t>
  </si>
  <si>
    <t>Achieved 70%-79% MPS result with analysis</t>
  </si>
  <si>
    <t>Achieved 50%-69% MPS Result with Analysis</t>
  </si>
  <si>
    <t>Achieved 30%-49% MPS Result with Analysis</t>
  </si>
  <si>
    <t>Achieved  0%-29% MPS Result with Analysis</t>
  </si>
  <si>
    <t xml:space="preserve">Reports on MPS with Analysis </t>
  </si>
  <si>
    <t>Reports on MPS with Analysis stamped received and signed by appropriate signatories.</t>
  </si>
  <si>
    <t xml:space="preserve">Submitted 4 Quarterly Reports </t>
  </si>
  <si>
    <t xml:space="preserve">Submitted 3 Quarterly Reports </t>
  </si>
  <si>
    <t xml:space="preserve">Submitted 2 Quarterly Reports </t>
  </si>
  <si>
    <t>Submitted 1 Quarterly Report</t>
  </si>
  <si>
    <t>No Report submitted</t>
  </si>
  <si>
    <t>MPS Result with Analysis  were submitted 5 days before the deadline</t>
  </si>
  <si>
    <t>MPS Result with Analysis  were submitted 3  days before the deadline</t>
  </si>
  <si>
    <t>MPS Result with Analysis  were submitted on the deadline</t>
  </si>
  <si>
    <t>MPS Result with Analysis  were not submitted</t>
  </si>
  <si>
    <t>Education Policy Deveopment Program</t>
  </si>
  <si>
    <t>Conducted educational research based on the results of assessments</t>
  </si>
  <si>
    <t>Crafted action research/basic resarch for policy brief.</t>
  </si>
  <si>
    <t>Conducted action research with the ff indicators:                                                        1. Conducted and completed a well-structured research directly anchored on assessment results addressing a major learning or performance gap.
2. Validated and presented/published in a division, regional, or national research forum.
3. Findings were utilized for SIP/AIP, instructional supervision, or program enhancement.                                                    4. Provided mentoring or coaching to teachers on research writing or implementation.</t>
  </si>
  <si>
    <t>1. Completed a well-documented research aligned with assessment results.                       2. Validated or approved by the Division Research Committee.
3. Findings were used to improve instruction or learner performance.</t>
  </si>
  <si>
    <t>1. Completed a research study based on assessment data.
2. Findings were shared with teachers for instructional improvement.</t>
  </si>
  <si>
    <t>1. Submitted an incomplete or weakly aligned research output with limited linkage to assessment data.</t>
  </si>
  <si>
    <t>1. Failed to conduct or submit any research output.</t>
  </si>
  <si>
    <t>Approved Research Proposal and Final Report
• Division/School Research Committee Validation Form
• Certificate of Presentation/Publication
• SIP/AIP Integration or Utilization Report
• Mentoring/Coaching Documentation</t>
  </si>
  <si>
    <t xml:space="preserve"> 1. Conducted the research with efficient use of time, data, and resources, meeting all standards.
 2. Demonstrated initiative and leadership by guiding other teachers or forming a school research team.
3. Produced outputs beyond expectations (e.g., supplementary materials, posters, or digital resources).                                                        4. Ensured accuracy and coherence of results, requiring no major revisions.</t>
  </si>
  <si>
    <t>1. Conducted research independently and efficiently within planned timelines and available resources.
2. Completed with minor revisions after validation.
3. Results were applied to improve learning delivery or school management.</t>
  </si>
  <si>
    <t>1. Conducted the research with some supervision.
2. Utilized resources adequately and met minimum standards.</t>
  </si>
  <si>
    <t xml:space="preserve"> Required close supervision and multiple corrections before completion.</t>
  </si>
  <si>
    <t>Failed to complete or manage research activities despite available support.</t>
  </si>
  <si>
    <t>1. Research was completed, validated, and disseminated ahead of schedule.
2. Results integrated immediately into SIP/AIP or teaching plans.                                              3. Findings were presented or shared within the same school year.
4. Demonstrated proactive submission and utilization of findings.</t>
  </si>
  <si>
    <t>1. Research completed and submitted on or before the target deadline.
 2. Findings disseminated for school-level utilization.
 3. Results aligned with division timelines.</t>
  </si>
  <si>
    <t>1. Research completed slightly beyond deadline but still relevant and utilized.
2. Findings partially disseminated or used.</t>
  </si>
  <si>
    <t>Research submitted significantly late, limiting its usefulness for current school planning.</t>
  </si>
  <si>
    <t>No research submitted or dissemination conducted within the evaluation period</t>
  </si>
  <si>
    <t>Learner Formation and Development</t>
  </si>
  <si>
    <t>Resiliency and Well-Being</t>
  </si>
  <si>
    <t>Improved Learning Environments that Safeguards Students' Physical and Mental Well-Being</t>
  </si>
  <si>
    <t>Created a safe, healthy, and conducive learning environment by promoting hygiene, sanitation, and health practices to improve learning outcomes</t>
  </si>
  <si>
    <t>Validated WINs Three-Star Approach Report</t>
  </si>
  <si>
    <t>Achieved 3 stars based on the WINs themes and criteria</t>
  </si>
  <si>
    <t>Achieved 2 stars based on the WINs themes and criteria</t>
  </si>
  <si>
    <t>Achieved 1 star based on the WINs themes and criteria</t>
  </si>
  <si>
    <t>Achieved 0 star based on the WINs themes and criteria</t>
  </si>
  <si>
    <t>No submission of report</t>
  </si>
  <si>
    <t>WINs Three-Star Approach Report</t>
  </si>
  <si>
    <t>Approved WINs Three-Star Approach Report</t>
  </si>
  <si>
    <t>Validated with 0 error/compliance</t>
  </si>
  <si>
    <t>Validated with 1-3 errors/compliances</t>
  </si>
  <si>
    <t>Validated with 4-6 errors/compliances</t>
  </si>
  <si>
    <t>Validated with 7 or more errors/compliances</t>
  </si>
  <si>
    <t>No validation of report</t>
  </si>
  <si>
    <t>Submitted on or before the deadline</t>
  </si>
  <si>
    <t>Submitted a week after the deadline</t>
  </si>
  <si>
    <t>Submitted 2 weeks after the deadline</t>
  </si>
  <si>
    <t>Submitted 3 weeks after the deadline</t>
  </si>
  <si>
    <t>Submitted a month or beyond after the deadline</t>
  </si>
  <si>
    <t>Implemented and managed  programs in the school that support the development of learners</t>
  </si>
  <si>
    <t xml:space="preserve">Conducted School Programs and Activities </t>
  </si>
  <si>
    <t>Conducted 5 or more programs and activities reflected in the ACR with the following indicators:  a. objectives  b. findings/observation/synthesis  c. plan of action   d. photos</t>
  </si>
  <si>
    <t>Conducted 4 programs and activities reflected in the ACR with the following indicators:                                                 a. objectives  b. findings/observation/synthesis                                                              c. plan of action                                                                          d. photos</t>
  </si>
  <si>
    <t>Conducted 3 programs and activities reflected in the ACR with the following indicators:                                                 a. objectives                                                                                 b. findings/observation/synthesis                                                              c. plan of action                                                                          d. photos</t>
  </si>
  <si>
    <t>Conducted 2 programs and activities reflected in the ACR with the following indicators:                                                 a. objectives                                                                                 b. findings/observation/synthesis                                                              c. plan of action                                                                          d. photos</t>
  </si>
  <si>
    <t>Conducted 1 programs and activities reflected in the ACR with the following indicators:                                                 a. objectives                                                                                 b. findings/observation/synthesis                                                              c. plan of action                                                                          d. photos</t>
  </si>
  <si>
    <t>ACR of the School Programs and Activities (e.g. Buwan ng Wika, Intramurals, NSED, Nutrition Month, Scilympics, etc)</t>
  </si>
  <si>
    <t>Approved ACR of the School Programs and Activities (e.g. Buwan ng Wika, Intramurals, NSED, Nutrition Month, Scilympics, etc)</t>
  </si>
  <si>
    <t>Submitted with 0 error/compliance</t>
  </si>
  <si>
    <t>Submitted with 1-3 errors/compliances</t>
  </si>
  <si>
    <t>Submitted with 4-6 errors/compliances</t>
  </si>
  <si>
    <t>Submitted with 7 or more errors/compliances</t>
  </si>
  <si>
    <t>Submitted a week after the conduct</t>
  </si>
  <si>
    <t>Submitted 2 weeks after the conduct</t>
  </si>
  <si>
    <t>Submitted 3 weeks after the conduct</t>
  </si>
  <si>
    <t>Submitted 4 weeks after the conduct</t>
  </si>
  <si>
    <t>Submitted 5 weeks or beyond after the conduct</t>
  </si>
  <si>
    <t xml:space="preserve">Ensured learning continuity and school preparedness, management, and recovery in times of calamity  </t>
  </si>
  <si>
    <t>Contigency Plan and WeeLMat Monitoring Tool</t>
  </si>
  <si>
    <t>Approved Contigency Plan and WeeLMat Monitoring Tool</t>
  </si>
  <si>
    <t>Provided learners a child-friendly, inclusive and motivating learning  environment</t>
  </si>
  <si>
    <t>Validated Child-Friendly School System (CFSS) Report</t>
  </si>
  <si>
    <t>Achieved 35 points or higher or a very oustanding child-friendly school</t>
  </si>
  <si>
    <t>Achieved at least 30 points but lower than 35 points or an oustanding child-friendly school</t>
  </si>
  <si>
    <t>Achieved at least 25 points but lower than 30 points or a child-friendly school</t>
  </si>
  <si>
    <t>Achieved at least 20 points but lower than 25 points</t>
  </si>
  <si>
    <t>Achieved at least 15 points but lower than 20 points</t>
  </si>
  <si>
    <t>Child-Friendly School System (CFSS) Report</t>
  </si>
  <si>
    <t>Approved Child-Friendly School System (CFSS) Report</t>
  </si>
  <si>
    <t>School  Operations and Management</t>
  </si>
  <si>
    <t>Agenda 1: High-Performing Teachers</t>
  </si>
  <si>
    <t>Developed program designs and implemented programs for professional development of Teachers</t>
  </si>
  <si>
    <t>Approved INSET Training Design/ LAC Plan  &amp;              Implemented INSET &amp;  LAC Sessions</t>
  </si>
  <si>
    <t xml:space="preserve">Submitted 1 Approved INSET Training Design, 1 Approved LAC Plan with atleast 4 LAC sessions, ,5  Attendance Sheets and 5 Activity Completion Report </t>
  </si>
  <si>
    <t xml:space="preserve"> Submitted1 Approved NSET Training Design, 3 Approved LAC Plans,4  Attendance Sheets and 4  Activity Completion Report </t>
  </si>
  <si>
    <t>Submitted 1 Approved INSET Training Design, 2 Approved LAC Plans ,3  Attendance Sheets and 3  Activity Completion Report were submitted</t>
  </si>
  <si>
    <t xml:space="preserve"> Submitted 1 Approved  INSET Training Design, 1 Approved  LAC Plan ,2  Attendance Sheets and 2  Activity Completion Reports </t>
  </si>
  <si>
    <t xml:space="preserve">Submitted 1 Approved  INSET Training Design, 0 Approved LAC Plan , 1  Attendance Sheet and1  Activity Completion Report </t>
  </si>
  <si>
    <t xml:space="preserve">*Approved LAC Plan / Approved INSET Training Design                          * Attendance Sheet                                   *Activity Completion Reports (ACR) received and approved by appropriate signatories </t>
  </si>
  <si>
    <t xml:space="preserve">Conducted1 INSET and 3 LAC Sessions from June 2025-March 2026  </t>
  </si>
  <si>
    <t xml:space="preserve">Conducted 1 INSET and 2 LAC Sessions from June 2025-March 2026 </t>
  </si>
  <si>
    <t xml:space="preserve">Conducted 1 INSET and 1 LAC Session from June 2025-March 2026 </t>
  </si>
  <si>
    <t xml:space="preserve">Conducted 1 INSET and 0 LAC Sessions from June 2025-March 2026 </t>
  </si>
  <si>
    <t>Submitted Activity Completion Report 2 weeks after the conduct of LAC Session/ INSET</t>
  </si>
  <si>
    <t xml:space="preserve"> Submitted Activity Completion Report submitted 3 weeks after the conduct of LAC Session/ INSET</t>
  </si>
  <si>
    <t xml:space="preserve"> Submitted Activity Completion Report  4 weeks after the conduct of LAC Session/ INSET</t>
  </si>
  <si>
    <t>Submitted  Activity Completion Report 5 weeks or beyond  after the conduct of LAC Session/ INSET</t>
  </si>
  <si>
    <t>No submission</t>
  </si>
  <si>
    <t>Rated the performance of teachers for School Year 2025–2026, ensuring fairness and alignment with standards.</t>
  </si>
  <si>
    <t>depends on the number of teachers</t>
  </si>
  <si>
    <t>Rated Teachers  for SY 2025-2026</t>
  </si>
  <si>
    <t>0 complaints of performance ratings of teachers</t>
  </si>
  <si>
    <t>With at least 1 complaint on the performance rating of teachers</t>
  </si>
  <si>
    <t xml:space="preserve">Summary of Ratings eIPCRF Summary </t>
  </si>
  <si>
    <t>Rated 100% of the teachers  within schedule</t>
  </si>
  <si>
    <t>Rated 76%-99% of the teachers within schedule</t>
  </si>
  <si>
    <t>Rated 51%-75% of the teachers  within schedule</t>
  </si>
  <si>
    <t>Rated 26%-50% of the teachers within schedule</t>
  </si>
  <si>
    <t>Rated 1%-25% of the teachers within schedule</t>
  </si>
  <si>
    <t>Submitted IPCRF Ratings of Teachers for SY 2025-2026  on of before the deadline</t>
  </si>
  <si>
    <t>Submitted IPCRF Ratings of Teachers for SY 2025-2026 1 week  after the deadline</t>
  </si>
  <si>
    <t>Submitted IPCRF Ratings of Teachers for SY 2025-2026 2 weeks after the deadline</t>
  </si>
  <si>
    <t>Submitted IPCRF Ratings of Teachers for SY 2025-2026  3 weeks after the deadline</t>
  </si>
  <si>
    <t>Submitted IPCRF Ratings of Teachers for SY 2025-2026  a month or beyond after the deadline</t>
  </si>
  <si>
    <t>To ensure that teachers and personnel comply with policy on attendance</t>
  </si>
  <si>
    <t>10 ROA</t>
  </si>
  <si>
    <t>Approved Report on Absences</t>
  </si>
  <si>
    <t>Report on Absences</t>
  </si>
  <si>
    <t>Agenda 3: Enhanced Governance Structure to ensure Efficient and Supportive Education System</t>
  </si>
  <si>
    <t>Ensured that teaching loads were equitably distributed among teachers.</t>
  </si>
  <si>
    <t>Approved   SF7</t>
  </si>
  <si>
    <t>100% of the teachers were given at least 6 hours of actual teaching loads</t>
  </si>
  <si>
    <t>76%-99% of the teachers were given at least 6 hours of actual teaching loads</t>
  </si>
  <si>
    <t>51%-75% of the teachers were given at least 6 hours of actual teaching loads</t>
  </si>
  <si>
    <t>26%-50% of the teachers were given at least 6 hours of actual teaching loads</t>
  </si>
  <si>
    <t>1%-25% of the teachers were given at least 6 hours of actual teaching loads</t>
  </si>
  <si>
    <t>Basic Education Inputs Program</t>
  </si>
  <si>
    <t>Enabling Mechanisms</t>
  </si>
  <si>
    <t>Agenda 3: Enhanced Governance Structure to ensure Efficient and Supportive Education Syatem</t>
  </si>
  <si>
    <t>Conducted  School Program Implementation Review and Adjustment ( SPIRPA)</t>
  </si>
  <si>
    <t>Conducted SPIRPA</t>
  </si>
  <si>
    <t>Submitted 4 SPIRPA Reports/ presentations with 0 corrections</t>
  </si>
  <si>
    <t>Submitted 3 SPIRPA Reports/ presentations with 0 corrections</t>
  </si>
  <si>
    <t>Submitted 2 SPIRPA Reports/ presentations with 0 corrections</t>
  </si>
  <si>
    <t>Submitted 1 SPIRPA Reports/ presentations with 0 corrections</t>
  </si>
  <si>
    <t>4 SPIRPA Reports/ presentation submitted have corrections</t>
  </si>
  <si>
    <t>Conducted 4 SPIRPA  on approved scheduled date</t>
  </si>
  <si>
    <t>Conducted 3 SPIRPA  on approved scheduled date</t>
  </si>
  <si>
    <t>Conducted 2 SPIRPA  on approved scheduled date</t>
  </si>
  <si>
    <t>Conducted 1 SPIRPA  on approved scheduled date</t>
  </si>
  <si>
    <t>Conducted 4 SPIRPA  a day after or beyond the scheduled date</t>
  </si>
  <si>
    <t>Part I-A Total Score</t>
  </si>
  <si>
    <t>Refer to BMEF and BEDP  2029</t>
  </si>
  <si>
    <t>Refer to BMEF and BEDP  2030</t>
  </si>
  <si>
    <t>5 Point Agenda</t>
  </si>
  <si>
    <t xml:space="preserve"> </t>
  </si>
  <si>
    <t>TO BE FILLED IN DURING PLANNING</t>
  </si>
  <si>
    <t>Key Result Areas (KRA)</t>
  </si>
  <si>
    <t>Objectives</t>
  </si>
  <si>
    <t>RATING SCALE</t>
  </si>
  <si>
    <t>Actual Results/ Accomplishments</t>
  </si>
  <si>
    <t>Conducted lnnovations/interventions  on any of the  folowing process:    a.  Strategic Leadership  b. School Operations and Resources Manangement   c. teaching and Learning Supervision      d. Organizational and Individual Development                       e. Partnership and Linkages</t>
  </si>
  <si>
    <t xml:space="preserve"> lnnovations/interventions  on any of the  folowing process:    a.  Strategic Leadership  b. School Operations and Resources Manangement   c. teaching and Learning Supervision      d. Organizational and Individual Development                       e. Partnership and Linkages</t>
  </si>
  <si>
    <t xml:space="preserve">With documents for the following indicators:                                                         a. Approved Innovation/intervention  Plan                             b. Approved Implementation Paper                 c.. Approved Accomplishment report d.Certification of the Utilization or adoptions </t>
  </si>
  <si>
    <t xml:space="preserve">Submitted  Innovation/Intervention plan with only 3 indicators </t>
  </si>
  <si>
    <t>Submitted  Innovation/Intervention plan with only 2 indicators</t>
  </si>
  <si>
    <t>Submitted  Innovation/Intervention plan with only 1 indicator</t>
  </si>
  <si>
    <t>No Submission of  Innovation/Intervention documents</t>
  </si>
  <si>
    <t xml:space="preserve"> Innovation/Intervention documents                                                         a.  Innovation/intervention  Plan                             b.  Implementation Paper                 c..Accomplishment report d.Certification of the Utilization or adoption</t>
  </si>
  <si>
    <t xml:space="preserve"> Approved  Innovation/Intervention documents                                                         a.  Innovation/intervention  Plan                             b.  Implementation Paper                 c..Accomplishment report d.Certification of the Utilization or adoption</t>
  </si>
  <si>
    <t>Implemented 95-100% of the target  activities based on the approved Innovation/Intervention plan</t>
  </si>
  <si>
    <t>Implemented 90-94% of the target  activities based on the approved Innovation/Intervention plan</t>
  </si>
  <si>
    <t>Implemented 85-89-% of the target  activities based on the approved Innovation/Intervention plan</t>
  </si>
  <si>
    <t>Implemented 80-84% of the target  activities based on the approved Innovation/Intervention plan</t>
  </si>
  <si>
    <t>Implemented 79% and below of the target  activities based on the approved Innovation/Intervention plan</t>
  </si>
  <si>
    <t>Implemented approved Innovation/Intervention a week after the approval</t>
  </si>
  <si>
    <t>Implemented approved Innovation/Intervention 2 weeks after the approval</t>
  </si>
  <si>
    <t>Implemented approved Innovation/Intervention 3 weeks after the approval</t>
  </si>
  <si>
    <t>Implemented approved Innovation/Intervention 4 weeks after the approval</t>
  </si>
  <si>
    <t>Implemented approved Innovation/Intervention 1 month and beyond after the approval</t>
  </si>
  <si>
    <t>Teaching and Learning Delivery</t>
  </si>
  <si>
    <t>Implemented ARAL Reading Program.</t>
  </si>
  <si>
    <t>Decreased the number of emergent learners by 95-100%.</t>
  </si>
  <si>
    <t>Decreased the number of emergent learners by 90-94%.</t>
  </si>
  <si>
    <t>Decreased the number of emergent learners by 75-89%.</t>
  </si>
  <si>
    <t>Decreased the number of emergent learners by 65-74%.</t>
  </si>
  <si>
    <t>Decreased the number of emergent learners by 0-64%.</t>
  </si>
  <si>
    <t xml:space="preserve">ARAL Action Plan and Accomplishment Report
</t>
  </si>
  <si>
    <t xml:space="preserve">ARAL Action Plan and Accomplishment Report signed by appropriate signatories
</t>
  </si>
  <si>
    <t>Submitted  Action Plan and  Accomplishment Report with o error</t>
  </si>
  <si>
    <t>Submitted  Action Plan and  Accomplishment Report with 1-3 error</t>
  </si>
  <si>
    <t>Submitted  Action Plan and  Accomplishment Report with 4-5 error</t>
  </si>
  <si>
    <t>Submitted  Action Plan and  Accomplishment Report with 6-7 error</t>
  </si>
  <si>
    <t>Submitted  Action Plan and  Accomplishment Report with 8-10 error</t>
  </si>
  <si>
    <t>Submitted the required report 5 days before the deadline</t>
  </si>
  <si>
    <t>Submitted the required report 3 days before the deadline</t>
  </si>
  <si>
    <t>Submitted the required report on the deadline</t>
  </si>
  <si>
    <t>Submitted the required report 5 days after the program.</t>
  </si>
  <si>
    <t>Submitted the report 15 days beyond the program</t>
  </si>
  <si>
    <t>Strenghtened the implementation of anti-bullying and child protection policies by engaging learners, teachers, parents, and other stakeholders to uphold unity, non-violence, and mental well-being through Powering Empathy, Acceptance, and Connection Everyday (PEACE)</t>
  </si>
  <si>
    <t>Validated Report on Bullying, PEACE Action Plan, Accomplishment Report, and School Compliance Report</t>
  </si>
  <si>
    <t>Reported 0 bullying case/incidence within the school year</t>
  </si>
  <si>
    <t>Reported 1-5 bullying cases/incidences within the school year</t>
  </si>
  <si>
    <t>Reported 6-10 bullying cases/incidences within the school year</t>
  </si>
  <si>
    <t>Repprted 11-15 bullying cases/incidences within the school year</t>
  </si>
  <si>
    <t>Repprted 16 or more bullying cases/incidences within the school year</t>
  </si>
  <si>
    <t>Report on Bullying, PEACE Action Plan, Accomplishment Report,  and School Compliance Report</t>
  </si>
  <si>
    <t xml:space="preserve">Implemented the PEACE Program supported by  all of the following MOVs:                                   a. Action Plan                                                                    b. Accomplishment Report                                           c. School Compliance Reports highlighting                            *Peace Talk                                                      *Groove It To The Peace                                *Kindness Wall                                                  *Peace of Art </t>
  </si>
  <si>
    <t>Implemented the PEACE Program supported by any 2 of the MOVs</t>
  </si>
  <si>
    <t xml:space="preserve">Implemented the PEACE Program supported by only 1 attachment </t>
  </si>
  <si>
    <t>Implemented the PEACE Program without MOVs</t>
  </si>
  <si>
    <t>No implementation of PEACE Program</t>
  </si>
  <si>
    <t>School Operations and Management</t>
  </si>
  <si>
    <t>Initiated a rewards and recognition program  to  award teachers and personnel for outstanding and exemplary performance based on their performance ratings and actual accomplishments</t>
  </si>
  <si>
    <t xml:space="preserve">Conducted Rewards and recognition program </t>
  </si>
  <si>
    <t>Recognized and awarded teachers and personnel for outstanding and exemplary performance based on their performance ratings and actual accomplishments with 4 indicators</t>
  </si>
  <si>
    <t>Recognized and awarded teachers and personnel for outstanding and exemplary performance based on their performance ratings and actual accomplishments with 3 indicators</t>
  </si>
  <si>
    <t>Recognized and awarded teachers and personnel for outstanding and exemplary performance based on their performance ratings and actual accomplishments with 2 indicators</t>
  </si>
  <si>
    <t>Recognized and awarded teachers and personnel for outstanding and exemplary performance based on their performance ratings and actual accomplishments with 1 indicator</t>
  </si>
  <si>
    <t>School Innovation Paper  with attached school memo,  criteria, program ,sample of awards and ACR</t>
  </si>
  <si>
    <t>Approved School Innovation Paper  with attached school memo,  criteria, program ,sample of awards and ACR</t>
  </si>
  <si>
    <t>Conducted in 4 quarters</t>
  </si>
  <si>
    <t>Conducted in 3 quarters</t>
  </si>
  <si>
    <t>Conducted in 2 quarters</t>
  </si>
  <si>
    <t>Conducted in 1 quarter</t>
  </si>
  <si>
    <t>0 Rewards and Recognition Program conducted</t>
  </si>
  <si>
    <t>4 Rewards &amp; Recognition Program conducted 2 weeks after the exam</t>
  </si>
  <si>
    <t>3 Rewards &amp; Recognition Program conducted 2 weeks after the exam</t>
  </si>
  <si>
    <t>2 Rewards &amp; Recognition Program conducted 2 weeks after the exam</t>
  </si>
  <si>
    <t>1 Rewards &amp; Recognition Program conducted 2 weeks after the exam</t>
  </si>
  <si>
    <t>0 Rewards &amp; Recognition Program conducted 2 weeks after the exam</t>
  </si>
  <si>
    <t>Part I-B Total Score</t>
  </si>
  <si>
    <t>Organizational Effectiveness Area</t>
  </si>
  <si>
    <t>Financial Stewardship</t>
  </si>
  <si>
    <t>Utilized 98% of the budget allocation in accordance with the quarterly disbursement program with no overdraft/deficit/disallowance from oversight agency/ies</t>
  </si>
  <si>
    <t>Budget allocation disbursed within the reglementary period with no overdraft/deficit/disallowance from oversight agency/ies</t>
  </si>
  <si>
    <t>Budget allocation disbursed within the reglementary period with 1-2 overdraft/deficit/disallowance from oversight agency/ies</t>
  </si>
  <si>
    <t>Budget allocation disbursed within the reglementary period with 3-4 overdraft/deficit/disallowance from oversight agency/ies</t>
  </si>
  <si>
    <t>Budget allocation disbursed within the reglementary period with 5-6 overdraft/deficit/disallowance from oversight agency/ies</t>
  </si>
  <si>
    <t>Budget allocation disbursed within the reglementary period with 7 or more overdraft/deficit/disallowance from oversight agency/ies</t>
  </si>
  <si>
    <t>Budget is utilized according to the BUR target, based on the official BUR report of the Finance Service/Section/Unit (i.e. 98% of the budget allocation is utilized within the FY)</t>
  </si>
  <si>
    <t>Budget is utilized with 1-5% variance from BUR target, based on the official BUR report of the Finance Service/Section/Unit (i.e. 93-97% of the budget allocation is utilized within the FY)</t>
  </si>
  <si>
    <t>Budget is utilized with 6-10% variance from BUR target, based on the official BUR report of the Finance Service/Section/Unit (i.e. 88-92% of the budget allocation is utilized within the FY)</t>
  </si>
  <si>
    <t>Budget is utilized with 11-15% variance from BUR target, based on the official BUR report of the Finance Service/Section/Unit (i.e. 83-87% of the budget allocation is utilized within the FY)</t>
  </si>
  <si>
    <t>Budget is utilized with more than 15% variance from BUR target, based on the official BUR report of the Finance Service/Section/Unit (i.e. Below 83% of the budget allocation is utilized within the FY)</t>
  </si>
  <si>
    <t>Quarterly basis:
Budget is utilized according to the quarterly disbursement program (i.e. 98% of the quarterly BUR target is utilized by the end of each quarter)</t>
  </si>
  <si>
    <t>Quarterly basis:
Budget is utilized with 1-5% variance from the quarterly disbursement program (i.e. 93-97% of the quarterly BUR target is utilized by the end of each quarter)</t>
  </si>
  <si>
    <t>Quarterly basis:
Budget is utilized with 6-10% variance from the quarterly disbursement program (i.e. 88-92% of the quarterly BUR target is utilized by the end of each quarter)</t>
  </si>
  <si>
    <t>Quarterly basis:
Budget is utilized with 11-15% variance from the quarterly disbursement program (i.e. 83-87% of the quarterly BUR target is utilized by the end of each quarter)</t>
  </si>
  <si>
    <t>Quarterly basis:
Budget is utilized with more than 15% variance from the quarterly disbursement program (i.e. Below 83% of the quarterly BUR target is utilized by the end of each quarter)</t>
  </si>
  <si>
    <t>Process improvement</t>
  </si>
  <si>
    <t>Streamlined core processes and management of service provisioning of frontline and other office deliverables to ensure ease of transations and/or digitalization/digitization</t>
  </si>
  <si>
    <t>Improvements/reduction on all of the service standards
1. no. of documentary requirements
2. total processing time
3. transaction cost
4. client steps/agency action steps
5. no. of signatories</t>
  </si>
  <si>
    <t>Improvements/reduction on 4 service standards
1. no. of documentary requirements
2. total processing time
3. transaction cost
4. client steps/agency action steps
5. no. of signatories</t>
  </si>
  <si>
    <t>Improvements/reduction on 2-3 service standards
1. no. of documentary requirements
2. total processing time
3. transaction cost
4. client steps/agency action steps
5. no. of signatories</t>
  </si>
  <si>
    <t>Improvements/reduction on 1 service standards
1. no. of documentary requirements
2. total processing time
3. transaction cost
4. client steps/agency action steps
5. no. of signatories</t>
  </si>
  <si>
    <t>No change in no. of documentary requirements, total processing time, transaction cost, process steps, signatories</t>
  </si>
  <si>
    <t>Streamlined and/or digitized all office core processes identified in the QMS planning documents</t>
  </si>
  <si>
    <t>Client Satisfaction</t>
  </si>
  <si>
    <t>Achieved 100% resolution and compliance rate to #8888 and CCB complaints within the prescribed processing time (simple - 3 days; complex - 7 days; highly technical - 20 days) with at least Satisfactory overall average result on the Client Satisfaction Measurement</t>
  </si>
  <si>
    <t xml:space="preserve">95.0% - 100% (Outstanding) overall average on the results of the Client Satisfaction Measurement (CSM) </t>
  </si>
  <si>
    <t>90.9% - 94.9% (Very Satisfactory) overall average on the results of the CSM</t>
  </si>
  <si>
    <t>80.0% - 89.9% (Satisfactory) overall average on the results of the CSM</t>
  </si>
  <si>
    <t>60.0% - 79.9% (Fair) overall average on the results of the CSM</t>
  </si>
  <si>
    <t>Below 60.0% (Poor) overall average on the results of the CSM</t>
  </si>
  <si>
    <t>100% resolution and compliance rate to #8888 and CCB complaints</t>
  </si>
  <si>
    <t>At least 80% resolution and compliance rate to #8888 and CCB complaints</t>
  </si>
  <si>
    <t>At least 50% resolution and compliance rate to #8888 and CCB complaints</t>
  </si>
  <si>
    <t>At least 1% resolution and compliance rate to #8888 and CCB complaints</t>
  </si>
  <si>
    <t>0% resolution and compliance rate to #8888 and CCB complaints</t>
  </si>
  <si>
    <t>Complaints acted upon and closed within prescribed processing time (simple - 3 days; complex - 7 days; highly technical - 20 days)</t>
  </si>
  <si>
    <t>Complaints are acted upon and closed with documented delays based on the prescribed processing time (simple - 3 days; complex - 7 days; highly technical - 20 days)</t>
  </si>
  <si>
    <t>No complaint acted upon and resolved</t>
  </si>
  <si>
    <t>Part I-C Total Score</t>
  </si>
  <si>
    <t>RATEE</t>
  </si>
  <si>
    <t>RATER</t>
  </si>
  <si>
    <t>APPROVING AUTHORITY</t>
  </si>
  <si>
    <t>Submitted 10 Approved Form 48</t>
  </si>
  <si>
    <t>Submitted 8-9 Approved Form 48</t>
  </si>
  <si>
    <t xml:space="preserve">Submitted 6-7 Approved Approved Form 48 </t>
  </si>
  <si>
    <t>Submitted 1-5 Approved Form 48</t>
  </si>
  <si>
    <t xml:space="preserve">Submitted 8-10 Approved Form 48  on or before  the deadline </t>
  </si>
  <si>
    <t xml:space="preserve">Submitted 6-7 Approved Form 48 on or before the deadline </t>
  </si>
  <si>
    <t xml:space="preserve">Submitted 4-5 Approved Form 48  on or before  the deadline </t>
  </si>
  <si>
    <t xml:space="preserve">Submitted 1-3 Approved Form 48  on or before  the deadline </t>
  </si>
  <si>
    <t>Class and Teachers Program</t>
  </si>
  <si>
    <t xml:space="preserve">Approved Class Program and Teachers Program signed by appropriate signatories  </t>
  </si>
  <si>
    <t>Liquidation Reports stamped , received by the Budget and Accounting Unit</t>
  </si>
  <si>
    <t>Citezen's Charter, CSM Ratings, ICT-enabled systems developed</t>
  </si>
  <si>
    <t>CSM Results, 8888 Tickets, Answer to 8888 complaints</t>
  </si>
  <si>
    <t>Established and sustained functional partnerships with stakeholders, evidenced by implemented collaborative programs, signed agreements, and documented support that contribute to improved learner outcomes.</t>
  </si>
  <si>
    <t>Signed Memoranda of Agreement (MOA) / Deed of Donation / Partnership Agreements</t>
  </si>
  <si>
    <t xml:space="preserve">At least 5 MOAs/Deed of Donation/Partnership Agreement </t>
  </si>
  <si>
    <t xml:space="preserve">At least 4 MOAs/Deed of Donation/Partnership Agreement </t>
  </si>
  <si>
    <t xml:space="preserve">At least 3 MOAs/Deed of Donation/Partnership Agreement </t>
  </si>
  <si>
    <t xml:space="preserve">At least 2 MOAs/Deed of Donation/Partnership Agreement </t>
  </si>
  <si>
    <t xml:space="preserve">At least 1 MOAs/Deed of Donation/Partnership Agreement </t>
  </si>
  <si>
    <t xml:space="preserve">All Reports Inventory of Partners submitted  to Soc Mob without delay 
</t>
  </si>
  <si>
    <t>Executed and duly signed Memoranda of Agreement (MOA), Deeds of Donation, and Partnership Agreements</t>
  </si>
  <si>
    <t xml:space="preserve">Approved Contigency Plan </t>
  </si>
  <si>
    <t xml:space="preserve">Presented 4 or more MOVs </t>
  </si>
  <si>
    <t xml:space="preserve">Presented 3 or more MOVs </t>
  </si>
  <si>
    <t xml:space="preserve">Presented 2 or more MOVs </t>
  </si>
  <si>
    <t xml:space="preserve">Presented 1 or more MOVs </t>
  </si>
  <si>
    <t>No MOVs</t>
  </si>
  <si>
    <t xml:space="preserve">  SPIRPA - ACRs</t>
  </si>
  <si>
    <t>SPIRPA - ACRs</t>
  </si>
  <si>
    <t>Submitted four (4) hard copies of ACRs.</t>
  </si>
  <si>
    <t>Submitted four (3) hard copies of ACRs.</t>
  </si>
  <si>
    <t>Submitted four (2) hard copies of ACRs.</t>
  </si>
  <si>
    <t>Submitted four (1) hard copies of ACRs.</t>
  </si>
  <si>
    <t>Class programs and teachers’ programs were prepared and submitted five (5) days before the deadline.</t>
  </si>
  <si>
    <t>Class programs and teachers’ programs were prepared and submitted  during the deadline.</t>
  </si>
  <si>
    <t>Class programs and teachers’ programs were prepared and submitted five (5) days after the deadline.</t>
  </si>
  <si>
    <t>Class programs and teachers’ programs were prepared and submitted ten (10) days late before the deadline.</t>
  </si>
  <si>
    <t>OIC-Asst. Schools Division Superintendent</t>
  </si>
  <si>
    <t>FERDINAND S. SY PhD, CESO VI</t>
  </si>
  <si>
    <t>EVA M. DOLLOSA RN</t>
  </si>
  <si>
    <t>Total amount generated from partners/donors engaged/involvedin the school activities/programs/projects annually:                                             (Php 25,000-29,999.00)</t>
  </si>
  <si>
    <t xml:space="preserve">Total amount generated from partners/donors engaged/involvedin the school activities/programs/projects annually:                                             (Php 20,000 - 24,999.00) </t>
  </si>
  <si>
    <t>Total amount generated from partners/donors engaged/involvedin the school activities/programs/projects annually:                                             (Php 15,000 - 19, 999.00)</t>
  </si>
  <si>
    <t xml:space="preserve">Total amount generated from partners/donors engaged/involvedin the school activities/programs/projects annually:                                             (Php 14,999.00 and below) </t>
  </si>
  <si>
    <r>
      <t xml:space="preserve">Performance Measure
</t>
    </r>
    <r>
      <rPr>
        <i/>
        <sz val="14"/>
        <color theme="1"/>
        <rFont val="Arial Narrow"/>
        <family val="2"/>
      </rPr>
      <t>(Quality, Efficiency, Timeliness)</t>
    </r>
  </si>
  <si>
    <r>
      <t xml:space="preserve">Description
</t>
    </r>
    <r>
      <rPr>
        <i/>
        <sz val="14"/>
        <color theme="1"/>
        <rFont val="Arial Narrow"/>
        <family val="2"/>
      </rPr>
      <t>(expected outcome/ output/service)</t>
    </r>
  </si>
  <si>
    <r>
      <t xml:space="preserve">Performance Targets
</t>
    </r>
    <r>
      <rPr>
        <i/>
        <sz val="14"/>
        <color theme="1"/>
        <rFont val="Arial Narrow"/>
        <family val="2"/>
      </rPr>
      <t>(Target Outcome/Ouput of the Bureau/Center/Service/Division that are enabling, supportive, and/or contributory to the achievement of the organizational outcomes and KRAs (Part I-A))</t>
    </r>
  </si>
  <si>
    <r>
      <t xml:space="preserve">Value
</t>
    </r>
    <r>
      <rPr>
        <i/>
        <sz val="14"/>
        <color theme="1"/>
        <rFont val="Arial"/>
        <family val="2"/>
      </rPr>
      <t>(numerical, statistical, trend)</t>
    </r>
  </si>
  <si>
    <r>
      <t xml:space="preserve">Streamlined and/or digitized </t>
    </r>
    <r>
      <rPr>
        <b/>
        <sz val="14"/>
        <color theme="1"/>
        <rFont val="Arial Narrow"/>
        <family val="2"/>
      </rPr>
      <t>76-99%</t>
    </r>
    <r>
      <rPr>
        <sz val="14"/>
        <color theme="1"/>
        <rFont val="Arial Narrow"/>
        <family val="2"/>
      </rPr>
      <t xml:space="preserve"> of the office core processes identified in the QMS planning documents</t>
    </r>
  </si>
  <si>
    <r>
      <t xml:space="preserve">Streamlined and/or digitized </t>
    </r>
    <r>
      <rPr>
        <b/>
        <sz val="14"/>
        <color theme="1"/>
        <rFont val="Arial Narrow"/>
        <family val="2"/>
      </rPr>
      <t>51-75%</t>
    </r>
    <r>
      <rPr>
        <sz val="14"/>
        <color theme="1"/>
        <rFont val="Arial Narrow"/>
        <family val="2"/>
      </rPr>
      <t xml:space="preserve"> of the office core processes identified in the QMS planning documents</t>
    </r>
  </si>
  <si>
    <r>
      <t xml:space="preserve">Streamlined and/or digitized </t>
    </r>
    <r>
      <rPr>
        <b/>
        <sz val="14"/>
        <color theme="1"/>
        <rFont val="Arial Narrow"/>
        <family val="2"/>
      </rPr>
      <t xml:space="preserve">26-50% </t>
    </r>
    <r>
      <rPr>
        <sz val="14"/>
        <color theme="1"/>
        <rFont val="Arial Narrow"/>
        <family val="2"/>
      </rPr>
      <t>of the office core processes identified in the QMS planning documents</t>
    </r>
  </si>
  <si>
    <r>
      <t>Streamlined and/or digitized</t>
    </r>
    <r>
      <rPr>
        <b/>
        <sz val="14"/>
        <color theme="1"/>
        <rFont val="Arial Narrow"/>
        <family val="2"/>
      </rPr>
      <t xml:space="preserve"> 0-25% </t>
    </r>
    <r>
      <rPr>
        <sz val="14"/>
        <color theme="1"/>
        <rFont val="Arial Narrow"/>
        <family val="2"/>
      </rPr>
      <t>of the office core processes identified in the QMS planning documents</t>
    </r>
  </si>
  <si>
    <r>
      <t xml:space="preserve">Performance Targets
</t>
    </r>
    <r>
      <rPr>
        <i/>
        <sz val="16"/>
        <color theme="1"/>
        <rFont val="Arial Narrow"/>
        <family val="2"/>
      </rPr>
      <t>(Target Outcome/Ouput of the Bureau/Center/Service/Division aligned with the Outcome/Output Indicators in the Organizational Outcomes)</t>
    </r>
  </si>
  <si>
    <r>
      <t xml:space="preserve">Organizational Outcome Attribution
</t>
    </r>
    <r>
      <rPr>
        <i/>
        <sz val="16"/>
        <color theme="1"/>
        <rFont val="Arial Narrow"/>
        <family val="2"/>
      </rPr>
      <t>(Refer to the GAA Programs/Subprogram and BEDP Pillars)</t>
    </r>
  </si>
  <si>
    <r>
      <t xml:space="preserve">Value
</t>
    </r>
    <r>
      <rPr>
        <i/>
        <sz val="16"/>
        <color theme="1"/>
        <rFont val="Arial Narrow"/>
        <family val="2"/>
      </rPr>
      <t>(numerical, statistical, trend)</t>
    </r>
  </si>
  <si>
    <r>
      <t xml:space="preserve">Description
</t>
    </r>
    <r>
      <rPr>
        <i/>
        <sz val="16"/>
        <color theme="1"/>
        <rFont val="Arial Narrow"/>
        <family val="2"/>
      </rPr>
      <t>(expected outcome/ output/service)</t>
    </r>
  </si>
  <si>
    <r>
      <rPr>
        <b/>
        <sz val="16"/>
        <color rgb="FF0070C0"/>
        <rFont val="Arial Narrow"/>
        <family val="2"/>
      </rPr>
      <t xml:space="preserve">Met all 5 indicators </t>
    </r>
    <r>
      <rPr>
        <sz val="16"/>
        <color rgb="FF0070C0"/>
        <rFont val="Arial Narrow"/>
        <family val="2"/>
      </rPr>
      <t>based on the established standards in policy formulation:
a. Consistent with existing laws, policies, guidelines, requirements, and data/information as may be required by law, oversight agencies, and/or DepEd
b. Consistent with agency strategic directions and appropriate with DepEd context
c. Compliant with DepEd guidelines on policy development process and underwent consultations and involvement of relevant management officials, personnel, and stakeholders at all governance levels
d. Provided presentation materials, press release(as needed), and briefers for Directors and Executive sponsors
e. Provided with complete staff work, to include implications/scenario analysis and recommendations</t>
    </r>
  </si>
  <si>
    <r>
      <rPr>
        <b/>
        <sz val="16"/>
        <color rgb="FF0070C0"/>
        <rFont val="Calibri"/>
        <family val="2"/>
      </rPr>
      <t xml:space="preserve"> Met 4 out of 5 indicators </t>
    </r>
    <r>
      <rPr>
        <sz val="16"/>
        <color rgb="FF0070C0"/>
        <rFont val="Calibri"/>
        <family val="2"/>
      </rPr>
      <t>based on</t>
    </r>
    <r>
      <rPr>
        <b/>
        <sz val="16"/>
        <color rgb="FF0070C0"/>
        <rFont val="Calibri"/>
        <family val="2"/>
      </rPr>
      <t xml:space="preserve"> </t>
    </r>
    <r>
      <rPr>
        <sz val="16"/>
        <color rgb="FF0070C0"/>
        <rFont val="Calibri"/>
        <family val="2"/>
      </rPr>
      <t>the established standards in policy formulation</t>
    </r>
  </si>
  <si>
    <r>
      <rPr>
        <b/>
        <sz val="16"/>
        <color rgb="FF0070C0"/>
        <rFont val="Calibri"/>
        <family val="2"/>
      </rPr>
      <t xml:space="preserve"> Met 3 out of 5 indicators</t>
    </r>
    <r>
      <rPr>
        <sz val="16"/>
        <color rgb="FF0070C0"/>
        <rFont val="Calibri"/>
        <family val="2"/>
      </rPr>
      <t xml:space="preserve"> based on the established standards in policy formulation</t>
    </r>
  </si>
  <si>
    <r>
      <rPr>
        <b/>
        <sz val="16"/>
        <color rgb="FF0070C0"/>
        <rFont val="Calibri"/>
        <family val="2"/>
      </rPr>
      <t>Met 2 out of 5 indicators</t>
    </r>
    <r>
      <rPr>
        <sz val="16"/>
        <color rgb="FF0070C0"/>
        <rFont val="Calibri"/>
        <family val="2"/>
      </rPr>
      <t xml:space="preserve"> based on the established standards in policy formulation</t>
    </r>
  </si>
  <si>
    <r>
      <rPr>
        <b/>
        <sz val="16"/>
        <color rgb="FF0070C0"/>
        <rFont val="Calibri"/>
        <family val="2"/>
      </rPr>
      <t>Only 1 out of 5 indicators</t>
    </r>
    <r>
      <rPr>
        <sz val="16"/>
        <color rgb="FF0070C0"/>
        <rFont val="Calibri"/>
        <family val="2"/>
      </rPr>
      <t xml:space="preserve"> is met based on the established standards in policy formulation</t>
    </r>
  </si>
  <si>
    <r>
      <rPr>
        <b/>
        <sz val="16"/>
        <color rgb="FF0070C0"/>
        <rFont val="Arial Narrow"/>
        <family val="2"/>
      </rPr>
      <t>100% of total number of policy deliverables</t>
    </r>
    <r>
      <rPr>
        <sz val="16"/>
        <color rgb="FF0070C0"/>
        <rFont val="Arial Narrow"/>
        <family val="2"/>
      </rPr>
      <t xml:space="preserve"> submitted and/or presented to the Director for approval; commented upon by such and provided responses to said comments; and/or integrated into the proposed policy action document.
</t>
    </r>
  </si>
  <si>
    <r>
      <rPr>
        <b/>
        <sz val="16"/>
        <color rgb="FF0070C0"/>
        <rFont val="Arial Narrow"/>
        <family val="2"/>
      </rPr>
      <t>76-99% of total number of policy deliverables</t>
    </r>
    <r>
      <rPr>
        <sz val="16"/>
        <color rgb="FF0070C0"/>
        <rFont val="Arial Narrow"/>
        <family val="2"/>
      </rPr>
      <t xml:space="preserve"> submitted and/or presented to the Director for approval; commented upon by such and provided responses to said comments; and/or integrated into the proposed policy action document.</t>
    </r>
  </si>
  <si>
    <r>
      <rPr>
        <b/>
        <sz val="16"/>
        <color rgb="FF0070C0"/>
        <rFont val="Arial Narrow"/>
        <family val="2"/>
      </rPr>
      <t>51-75% of total number of policy deliverables</t>
    </r>
    <r>
      <rPr>
        <sz val="16"/>
        <color rgb="FF0070C0"/>
        <rFont val="Arial Narrow"/>
        <family val="2"/>
      </rPr>
      <t xml:space="preserve"> submitted and/or presented to the Director for approval; commented upon by such and provided responses to said comments; and/or integrated into the proposed policy action document.</t>
    </r>
  </si>
  <si>
    <r>
      <rPr>
        <b/>
        <sz val="16"/>
        <color rgb="FF0070C0"/>
        <rFont val="Arial Narrow"/>
        <family val="2"/>
      </rPr>
      <t xml:space="preserve">26-50% of total number of policy deliverables </t>
    </r>
    <r>
      <rPr>
        <sz val="16"/>
        <color rgb="FF0070C0"/>
        <rFont val="Arial Narrow"/>
        <family val="2"/>
      </rPr>
      <t>submitted and/or presented to the Director for approval; commented upon by such and provided responses to said comments; and/or integrated into the proposed policy action document.</t>
    </r>
  </si>
  <si>
    <r>
      <rPr>
        <b/>
        <sz val="16"/>
        <color rgb="FF0070C0"/>
        <rFont val="Arial Narrow"/>
        <family val="2"/>
      </rPr>
      <t>25 %and below of total number of policy deliverables</t>
    </r>
    <r>
      <rPr>
        <sz val="16"/>
        <color rgb="FF0070C0"/>
        <rFont val="Arial Narrow"/>
        <family val="2"/>
      </rPr>
      <t xml:space="preserve"> submitted and/or presented to the Director for approval; commented upon by such and provided responses to said comments; and/or integrated into the proposed policy action document.</t>
    </r>
  </si>
  <si>
    <r>
      <rPr>
        <b/>
        <u/>
        <sz val="18"/>
        <color rgb="FF000000"/>
        <rFont val="Arial Narrow"/>
        <family val="2"/>
      </rPr>
      <t xml:space="preserve">PART I-B: INNOVATING AND INTERVENING ACCOMPLISHMENTS (20%)
</t>
    </r>
    <r>
      <rPr>
        <b/>
        <i/>
        <sz val="18"/>
        <color rgb="FF000000"/>
        <rFont val="Arial Narrow"/>
        <family val="2"/>
      </rPr>
      <t>Part I-B. Innovating and Intervening Accomplishments shall capture the outcomes/outputs of the office that are enabling, supportive, and/or contributory to the achievement of the organizational commitments and KRAs in Part I-A. Accomplishments can be innovations, interventions, and enhancements on the processes, services, and/or outputs.</t>
    </r>
  </si>
  <si>
    <r>
      <rPr>
        <sz val="20"/>
        <color theme="1"/>
        <rFont val="Arial Narrow"/>
        <family val="2"/>
      </rPr>
      <t>Basic Education</t>
    </r>
    <r>
      <rPr>
        <b/>
        <i/>
        <sz val="20"/>
        <color theme="1"/>
        <rFont val="Arial Narrow"/>
        <family val="2"/>
      </rPr>
      <t xml:space="preserve"> </t>
    </r>
  </si>
  <si>
    <r>
      <t xml:space="preserve">Performance Measure
</t>
    </r>
    <r>
      <rPr>
        <i/>
        <sz val="18"/>
        <color theme="1"/>
        <rFont val="Arial Narrow"/>
        <family val="2"/>
      </rPr>
      <t>(Quality, Efficiency, Timeliness)</t>
    </r>
  </si>
  <si>
    <r>
      <t xml:space="preserve">Objectives
</t>
    </r>
    <r>
      <rPr>
        <i/>
        <sz val="20"/>
        <color theme="1"/>
        <rFont val="Arial Narrow"/>
        <family val="2"/>
      </rPr>
      <t>(based on Office Functions)</t>
    </r>
  </si>
  <si>
    <r>
      <t xml:space="preserve">Key Result Areas (KRA)
</t>
    </r>
    <r>
      <rPr>
        <i/>
        <sz val="18"/>
        <color theme="1"/>
        <rFont val="Arial Narrow"/>
        <family val="2"/>
      </rPr>
      <t>(Based on Office Mandate and Functions)</t>
    </r>
  </si>
  <si>
    <t xml:space="preserve">                                                                                                         School Leadership and Administration </t>
  </si>
  <si>
    <r>
      <t xml:space="preserve">OFFICE PERFORMANCE COMMITMENT AND REVIEW FORM (OPCRF) 
</t>
    </r>
    <r>
      <rPr>
        <b/>
        <i/>
        <sz val="20"/>
        <color rgb="FF000000"/>
        <rFont val="Arial Narrow"/>
        <family val="2"/>
      </rPr>
      <t>ver.Feb2025</t>
    </r>
  </si>
  <si>
    <r>
      <rPr>
        <b/>
        <u/>
        <sz val="20"/>
        <color rgb="FF000000"/>
        <rFont val="Arial Narrow"/>
        <family val="2"/>
      </rPr>
      <t xml:space="preserve">PART I-A: COMMITMENT TO ORGANIZATIONAL OUTCOMES (60%)
</t>
    </r>
    <r>
      <rPr>
        <b/>
        <i/>
        <sz val="20"/>
        <color rgb="FF000000"/>
        <rFont val="Arial Narrow"/>
        <family val="2"/>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Current Administration Agenda, and other national level commitments that are aligned with and relevant to the office KRAs. Clear attribution shall be made to ensure such alignment.</t>
    </r>
  </si>
  <si>
    <t xml:space="preserve">All or 91-100% of AIP activities aligned with the approved SIP through Work and Financial Plan (WFP) and Annual Implementation Plan (AIP).are conducted/ implemented </t>
  </si>
  <si>
    <t>Conducted1 INSET and 4 LAC Sessions from June 2025-March 2026</t>
  </si>
  <si>
    <t>Recognized and awarded teachers and personnel for outstanding and exemplary performance based on their performance ratings and actual accomplishments with the following                                                                                  a.approved innovation paper                                                                                              b.school memo                                                             c. criteria,                                                                               d. programs                                                                                  e.  samples of awards                                                                                            f. ACR</t>
  </si>
  <si>
    <r>
      <rPr>
        <b/>
        <u/>
        <sz val="20"/>
        <color rgb="FF000000"/>
        <rFont val="Arial Narrow"/>
        <family val="2"/>
      </rPr>
      <t xml:space="preserve">PART I-C:  ORGANIZATIONAL EFFECTIVENESS (15%)
</t>
    </r>
    <r>
      <rPr>
        <b/>
        <i/>
        <sz val="20"/>
        <color rgb="FF000000"/>
        <rFont val="Arial Narrow"/>
        <family val="2"/>
      </rPr>
      <t>Part I-C. Organizational Effectiveness shall capture accomplishments/outputs produced or attained on the aspects of Financial Stewardship, Process Improvement, and Client Satisfaction. It shall focus on the results achieved by the office that are aligned with the Performance-based Bonus (PBB) oversight requirements.</t>
    </r>
  </si>
  <si>
    <t>Anchored on the Vision, Mission, and Core Values of the Department of Education, I commit to providing quality, accessible, relevant, and liberating basic education for all learners. As a School Head, I shall uphold integrity, excellence, and accountability in leading the school community toward the achievement of educational goals and improved learner outcomes.I further commit to fostering a learner-centered environment, empowering teachers and stakeholders through collaboration and shared leadership, and ensuring effective implementation of programs, policies, and initiatives that promote holistic development and continuous school improvement. Through professionalism and dedication, I shall embody the core values of Maka-Diyos, Makatao, Makakalikasan, at Makabansa in the discharge of my duties and responsibilities.</t>
  </si>
  <si>
    <t>Verifier: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</si>
</sst>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64" x14ac:knownFonts="1">
    <font>
      <sz val="11"/>
      <color theme="1"/>
      <name val="Aptos Narrow"/>
      <scheme val="minor"/>
    </font>
    <font>
      <b/>
      <sz val="18"/>
      <color rgb="FF000000"/>
      <name val="Arial Narrow"/>
      <family val="2"/>
    </font>
    <font>
      <sz val="16"/>
      <color theme="1"/>
      <name val="Arial Narrow"/>
      <family val="2"/>
    </font>
    <font>
      <sz val="14"/>
      <color rgb="FF000000"/>
      <name val="Arial Narrow"/>
      <family val="2"/>
    </font>
    <font>
      <sz val="16"/>
      <color rgb="FF000000"/>
      <name val="Arial Narrow"/>
      <family val="2"/>
    </font>
    <font>
      <b/>
      <sz val="18"/>
      <color theme="1"/>
      <name val="Arial Narrow"/>
      <family val="2"/>
    </font>
    <font>
      <sz val="20"/>
      <color theme="1"/>
      <name val="Arial Narrow"/>
      <family val="2"/>
    </font>
    <font>
      <b/>
      <i/>
      <sz val="18"/>
      <color rgb="FF000000"/>
      <name val="Arial Narrow"/>
      <family val="2"/>
    </font>
    <font>
      <b/>
      <u/>
      <sz val="18"/>
      <color rgb="FF000000"/>
      <name val="Arial Narrow"/>
      <family val="2"/>
    </font>
    <font>
      <b/>
      <sz val="14"/>
      <color theme="1"/>
      <name val="Arial Narrow"/>
      <family val="2"/>
    </font>
    <font>
      <sz val="14"/>
      <name val="Aptos Narrow"/>
      <family val="2"/>
    </font>
    <font>
      <sz val="14"/>
      <color theme="1"/>
      <name val="Arial Narrow"/>
      <family val="2"/>
    </font>
    <font>
      <sz val="14"/>
      <color rgb="FF000000"/>
      <name val="Calibri"/>
      <family val="2"/>
    </font>
    <font>
      <sz val="14"/>
      <color theme="1"/>
      <name val="Aptos Narrow"/>
      <family val="2"/>
      <scheme val="minor"/>
    </font>
    <font>
      <b/>
      <i/>
      <sz val="14"/>
      <color rgb="FF000000"/>
      <name val="Arial Narrow"/>
      <family val="2"/>
    </font>
    <font>
      <b/>
      <i/>
      <sz val="14"/>
      <color rgb="FF000000"/>
      <name val="Arial"/>
      <family val="2"/>
    </font>
    <font>
      <i/>
      <sz val="14"/>
      <color theme="1"/>
      <name val="Arial Narrow"/>
      <family val="2"/>
    </font>
    <font>
      <b/>
      <sz val="14"/>
      <color rgb="FF000000"/>
      <name val="Arial"/>
      <family val="2"/>
    </font>
    <font>
      <sz val="14"/>
      <color theme="1"/>
      <name val="Calibri"/>
      <family val="2"/>
    </font>
    <font>
      <sz val="14"/>
      <color rgb="FF000000"/>
      <name val="Aptos Narrow"/>
      <family val="2"/>
    </font>
    <font>
      <i/>
      <sz val="14"/>
      <color theme="1"/>
      <name val="Arial"/>
      <family val="2"/>
    </font>
    <font>
      <i/>
      <sz val="14"/>
      <color rgb="FF000000"/>
      <name val="Arial Narrow"/>
      <family val="2"/>
    </font>
    <font>
      <sz val="14"/>
      <color rgb="FFFF0000"/>
      <name val="Arial Narrow"/>
      <family val="2"/>
    </font>
    <font>
      <sz val="16"/>
      <name val="Aptos Narrow"/>
      <family val="2"/>
    </font>
    <font>
      <sz val="16"/>
      <color theme="1"/>
      <name val="Aptos Narrow"/>
      <family val="2"/>
      <scheme val="minor"/>
    </font>
    <font>
      <sz val="16"/>
      <color rgb="FF000000"/>
      <name val="Calibri"/>
      <family val="2"/>
    </font>
    <font>
      <b/>
      <sz val="16"/>
      <color theme="1"/>
      <name val="Arial Narrow"/>
      <family val="2"/>
    </font>
    <font>
      <i/>
      <sz val="16"/>
      <color theme="1"/>
      <name val="Arial Narrow"/>
      <family val="2"/>
    </font>
    <font>
      <sz val="16"/>
      <color rgb="FF0070C0"/>
      <name val="Calibri"/>
      <family val="2"/>
    </font>
    <font>
      <sz val="16"/>
      <color rgb="FF0070C0"/>
      <name val="Arial Narrow"/>
      <family val="2"/>
    </font>
    <font>
      <b/>
      <sz val="16"/>
      <color rgb="FF0070C0"/>
      <name val="Arial Narrow"/>
      <family val="2"/>
    </font>
    <font>
      <b/>
      <sz val="16"/>
      <color rgb="FF0070C0"/>
      <name val="Calibri"/>
      <family val="2"/>
    </font>
    <font>
      <sz val="16"/>
      <color theme="8"/>
      <name val="Calibri"/>
      <family val="2"/>
    </font>
    <font>
      <b/>
      <sz val="16"/>
      <color theme="1"/>
      <name val="Arial"/>
      <family val="2"/>
    </font>
    <font>
      <sz val="16"/>
      <color theme="1"/>
      <name val="Calibri"/>
      <family val="2"/>
    </font>
    <font>
      <sz val="16"/>
      <color theme="8"/>
      <name val="Arial Narrow"/>
      <family val="2"/>
    </font>
    <font>
      <sz val="18"/>
      <name val="Aptos Narrow"/>
      <family val="2"/>
    </font>
    <font>
      <sz val="18"/>
      <color theme="1"/>
      <name val="Arial Narrow"/>
      <family val="2"/>
    </font>
    <font>
      <sz val="18"/>
      <color theme="1"/>
      <name val="Aptos Narrow"/>
      <family val="2"/>
      <scheme val="minor"/>
    </font>
    <font>
      <sz val="20"/>
      <name val="Aptos Narrow"/>
      <family val="2"/>
    </font>
    <font>
      <sz val="20"/>
      <color theme="1"/>
      <name val="Aptos Narrow"/>
      <family val="2"/>
      <scheme val="minor"/>
    </font>
    <font>
      <sz val="20"/>
      <color theme="1"/>
      <name val="Calibri"/>
      <family val="2"/>
    </font>
    <font>
      <b/>
      <sz val="20"/>
      <color theme="1"/>
      <name val="Arial Narrow"/>
      <family val="2"/>
    </font>
    <font>
      <b/>
      <i/>
      <sz val="20"/>
      <color theme="1"/>
      <name val="Arial Narrow"/>
      <family val="2"/>
    </font>
    <font>
      <sz val="20"/>
      <color rgb="FF000000"/>
      <name val="Arial Narrow"/>
      <family val="2"/>
    </font>
    <font>
      <sz val="20"/>
      <color rgb="FF000000"/>
      <name val="Aptos Narrow"/>
      <family val="2"/>
    </font>
    <font>
      <i/>
      <sz val="20"/>
      <color theme="1"/>
      <name val="Arial Narrow"/>
      <family val="2"/>
    </font>
    <font>
      <b/>
      <sz val="20"/>
      <color theme="1"/>
      <name val="Calibri"/>
      <family val="2"/>
    </font>
    <font>
      <sz val="20"/>
      <color theme="1"/>
      <name val="Aptos Narrow"/>
      <family val="2"/>
    </font>
    <font>
      <b/>
      <i/>
      <sz val="20"/>
      <color rgb="FF000000"/>
      <name val="Arial Narrow"/>
      <family val="2"/>
    </font>
    <font>
      <sz val="20"/>
      <color rgb="FF000000"/>
      <name val="Calibri"/>
      <family val="2"/>
    </font>
    <font>
      <sz val="22"/>
      <color rgb="FF000000"/>
      <name val="Arial Narrow"/>
      <family val="2"/>
    </font>
    <font>
      <sz val="22"/>
      <color theme="1"/>
      <name val="Arial Narrow"/>
      <family val="2"/>
    </font>
    <font>
      <sz val="22"/>
      <name val="Aptos Narrow"/>
      <family val="2"/>
    </font>
    <font>
      <b/>
      <sz val="22"/>
      <color theme="1"/>
      <name val="Arial Narrow"/>
      <family val="2"/>
    </font>
    <font>
      <sz val="22"/>
      <name val="Arial Narrow"/>
      <family val="2"/>
    </font>
    <font>
      <b/>
      <sz val="20"/>
      <color rgb="FF000000"/>
      <name val="Arial"/>
      <family val="2"/>
    </font>
    <font>
      <i/>
      <sz val="18"/>
      <color theme="1"/>
      <name val="Arial Narrow"/>
      <family val="2"/>
    </font>
    <font>
      <b/>
      <sz val="20"/>
      <name val="Aptos Narrow"/>
      <family val="2"/>
    </font>
    <font>
      <b/>
      <i/>
      <sz val="18"/>
      <color rgb="FF000000"/>
      <name val="Arial"/>
      <family val="2"/>
    </font>
    <font>
      <b/>
      <sz val="20"/>
      <color rgb="FF000000"/>
      <name val="Arial Narrow"/>
      <family val="2"/>
    </font>
    <font>
      <b/>
      <u/>
      <sz val="20"/>
      <color rgb="FF000000"/>
      <name val="Arial Narrow"/>
      <family val="2"/>
    </font>
    <font>
      <sz val="20"/>
      <color rgb="FF000000"/>
      <name val="Arial"/>
      <family val="2"/>
    </font>
    <font>
      <sz val="18"/>
      <color rgb="FF000000"/>
      <name val="Arial Narrow"/>
      <family val="2"/>
    </font>
  </fonts>
  <fills count="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2874BD"/>
        <bgColor rgb="FF2874BD"/>
      </patternFill>
    </fill>
    <fill>
      <patternFill patternType="solid">
        <fgColor rgb="FFDADADA"/>
        <bgColor rgb="FFDADADA"/>
      </patternFill>
    </fill>
    <fill>
      <patternFill patternType="solid">
        <fgColor rgb="FF0070C0"/>
        <bgColor indexed="64"/>
      </patternFill>
    </fill>
  </fills>
  <borders count="172">
    <border>
      <left/>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medium">
        <color rgb="FF000000"/>
      </top>
      <bottom/>
      <diagonal/>
    </border>
    <border>
      <left/>
      <right/>
      <top style="medium">
        <color rgb="FF000000"/>
      </top>
      <bottom style="medium">
        <color rgb="FF000000"/>
      </bottom>
      <diagonal/>
    </border>
    <border>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bottom/>
      <diagonal/>
    </border>
    <border>
      <left/>
      <right style="thin">
        <color rgb="FF000000"/>
      </right>
      <top/>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style="medium">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thin">
        <color rgb="FF000000"/>
      </bottom>
      <diagonal/>
    </border>
    <border>
      <left style="medium">
        <color indexed="64"/>
      </left>
      <right style="thin">
        <color rgb="FF000000"/>
      </right>
      <top style="medium">
        <color indexed="64"/>
      </top>
      <bottom/>
      <diagonal/>
    </border>
    <border>
      <left style="thin">
        <color rgb="FF000000"/>
      </left>
      <right style="medium">
        <color rgb="FF000000"/>
      </right>
      <top style="medium">
        <color indexed="64"/>
      </top>
      <bottom/>
      <diagonal/>
    </border>
    <border>
      <left style="medium">
        <color rgb="FF000000"/>
      </left>
      <right style="thin">
        <color rgb="FF000000"/>
      </right>
      <top style="medium">
        <color indexed="64"/>
      </top>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medium">
        <color rgb="FF000000"/>
      </right>
      <top/>
      <bottom style="medium">
        <color indexed="64"/>
      </bottom>
      <diagonal/>
    </border>
    <border>
      <left style="medium">
        <color rgb="FF000000"/>
      </left>
      <right style="thin">
        <color rgb="FF000000"/>
      </right>
      <top/>
      <bottom style="medium">
        <color indexed="64"/>
      </bottom>
      <diagonal/>
    </border>
    <border>
      <left style="thin">
        <color rgb="FF000000"/>
      </left>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medium">
        <color rgb="FF000000"/>
      </bottom>
      <diagonal/>
    </border>
    <border>
      <left/>
      <right style="thin">
        <color rgb="FF000000"/>
      </right>
      <top style="thin">
        <color rgb="FF000000"/>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bottom/>
      <diagonal/>
    </border>
    <border>
      <left/>
      <right style="medium">
        <color rgb="FF000000"/>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medium">
        <color rgb="FF000000"/>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medium">
        <color rgb="FF000000"/>
      </left>
      <right style="medium">
        <color rgb="FF000000"/>
      </right>
      <top style="medium">
        <color indexed="64"/>
      </top>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style="medium">
        <color rgb="FF000000"/>
      </left>
      <right style="medium">
        <color rgb="FF000000"/>
      </right>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615">
    <xf numFmtId="0" fontId="0" fillId="0" borderId="0" xfId="0"/>
    <xf numFmtId="0" fontId="3" fillId="2" borderId="1" xfId="0" applyFont="1" applyFill="1" applyBorder="1" applyAlignment="1">
      <alignment vertical="top"/>
    </xf>
    <xf numFmtId="0" fontId="11" fillId="2" borderId="1" xfId="0" applyFont="1" applyFill="1" applyBorder="1" applyAlignment="1">
      <alignment vertical="top"/>
    </xf>
    <xf numFmtId="0" fontId="12" fillId="0" borderId="0" xfId="0" applyFont="1"/>
    <xf numFmtId="0" fontId="13" fillId="0" borderId="0" xfId="0" applyFont="1"/>
    <xf numFmtId="0" fontId="3" fillId="0" borderId="0" xfId="0" applyFont="1"/>
    <xf numFmtId="0" fontId="11" fillId="3" borderId="1" xfId="0" applyFont="1" applyFill="1" applyBorder="1" applyAlignment="1">
      <alignment horizontal="left" vertical="top" wrapText="1"/>
    </xf>
    <xf numFmtId="0" fontId="3" fillId="2" borderId="1" xfId="0" applyFont="1" applyFill="1" applyBorder="1" applyAlignment="1">
      <alignment vertical="center"/>
    </xf>
    <xf numFmtId="0" fontId="11" fillId="2" borderId="1" xfId="0" applyFont="1" applyFill="1" applyBorder="1" applyAlignment="1">
      <alignment vertical="center"/>
    </xf>
    <xf numFmtId="0" fontId="12" fillId="0" borderId="0" xfId="0" applyFont="1" applyAlignment="1">
      <alignment vertical="top"/>
    </xf>
    <xf numFmtId="0" fontId="11" fillId="0" borderId="12" xfId="0" applyFont="1" applyBorder="1" applyAlignment="1">
      <alignment horizontal="left" vertical="center" wrapText="1"/>
    </xf>
    <xf numFmtId="0" fontId="11" fillId="0" borderId="98" xfId="0" applyFont="1" applyBorder="1" applyAlignment="1">
      <alignment horizontal="left" vertical="center" wrapText="1"/>
    </xf>
    <xf numFmtId="0" fontId="11" fillId="0" borderId="18" xfId="0" applyFont="1" applyBorder="1" applyAlignment="1">
      <alignment horizontal="left" vertical="top" wrapText="1"/>
    </xf>
    <xf numFmtId="0" fontId="11" fillId="0" borderId="18" xfId="0" applyFont="1" applyBorder="1" applyAlignment="1">
      <alignment horizontal="left" vertical="center" wrapText="1"/>
    </xf>
    <xf numFmtId="2" fontId="11" fillId="3" borderId="1" xfId="0" applyNumberFormat="1" applyFont="1" applyFill="1" applyBorder="1" applyAlignment="1">
      <alignment horizontal="center" vertical="center" wrapText="1"/>
    </xf>
    <xf numFmtId="0" fontId="9" fillId="3" borderId="1" xfId="0" applyFont="1" applyFill="1" applyBorder="1" applyAlignment="1">
      <alignment horizontal="right" vertical="center" wrapText="1"/>
    </xf>
    <xf numFmtId="0" fontId="3" fillId="0" borderId="0" xfId="0" applyFont="1" applyAlignment="1">
      <alignment vertical="center"/>
    </xf>
    <xf numFmtId="0" fontId="9" fillId="4" borderId="115" xfId="0" applyFont="1" applyFill="1" applyBorder="1" applyAlignment="1">
      <alignment horizontal="center" vertical="center" wrapText="1"/>
    </xf>
    <xf numFmtId="0" fontId="11" fillId="0" borderId="18" xfId="0" applyFont="1" applyBorder="1" applyAlignment="1">
      <alignment horizontal="center" vertical="center"/>
    </xf>
    <xf numFmtId="0" fontId="21" fillId="4" borderId="1" xfId="0" applyFont="1" applyFill="1" applyBorder="1" applyAlignment="1">
      <alignment horizontal="center"/>
    </xf>
    <xf numFmtId="0" fontId="11" fillId="0" borderId="98" xfId="0" applyFont="1" applyBorder="1" applyAlignment="1">
      <alignment horizontal="center" vertical="center"/>
    </xf>
    <xf numFmtId="0" fontId="11" fillId="0" borderId="12" xfId="0" applyFont="1" applyBorder="1" applyAlignment="1">
      <alignment horizontal="center" vertical="center"/>
    </xf>
    <xf numFmtId="0" fontId="3" fillId="0" borderId="12" xfId="0" applyFont="1" applyBorder="1" applyAlignment="1">
      <alignment horizontal="left" vertical="center" wrapText="1"/>
    </xf>
    <xf numFmtId="0" fontId="11" fillId="0" borderId="12" xfId="0" applyFont="1" applyBorder="1" applyAlignment="1">
      <alignment horizontal="left" vertical="top" wrapText="1"/>
    </xf>
    <xf numFmtId="0" fontId="9" fillId="0" borderId="12" xfId="0" applyFont="1" applyBorder="1" applyAlignment="1">
      <alignment horizontal="center" vertical="center" wrapText="1"/>
    </xf>
    <xf numFmtId="0" fontId="11" fillId="0" borderId="12" xfId="0" applyFont="1" applyBorder="1"/>
    <xf numFmtId="0" fontId="9" fillId="0" borderId="98" xfId="0" applyFont="1" applyBorder="1" applyAlignment="1">
      <alignment horizontal="center" vertical="center" wrapText="1"/>
    </xf>
    <xf numFmtId="0" fontId="9" fillId="0" borderId="52" xfId="0" applyFont="1" applyBorder="1" applyAlignment="1">
      <alignment horizontal="center" vertical="center" wrapText="1"/>
    </xf>
    <xf numFmtId="0" fontId="9" fillId="0" borderId="18" xfId="0" applyFont="1" applyBorder="1" applyAlignment="1">
      <alignment horizontal="center" vertical="center" wrapText="1"/>
    </xf>
    <xf numFmtId="0" fontId="11" fillId="0" borderId="18" xfId="0" applyFont="1" applyBorder="1"/>
    <xf numFmtId="0" fontId="11" fillId="0" borderId="52" xfId="0" applyFont="1" applyBorder="1" applyAlignment="1">
      <alignment horizontal="center" vertical="center"/>
    </xf>
    <xf numFmtId="0" fontId="11" fillId="0" borderId="52" xfId="0" applyFont="1" applyBorder="1"/>
    <xf numFmtId="0" fontId="9" fillId="0" borderId="119" xfId="0" applyFont="1" applyBorder="1"/>
    <xf numFmtId="0" fontId="9" fillId="0" borderId="77" xfId="0" applyFont="1" applyBorder="1"/>
    <xf numFmtId="0" fontId="11" fillId="0" borderId="0" xfId="0" applyFont="1"/>
    <xf numFmtId="0" fontId="11" fillId="0" borderId="0" xfId="0" applyFont="1" applyAlignment="1">
      <alignment vertical="top"/>
    </xf>
    <xf numFmtId="0" fontId="3" fillId="0" borderId="98" xfId="0" applyFont="1" applyBorder="1" applyAlignment="1">
      <alignment horizontal="left" vertical="center" wrapText="1"/>
    </xf>
    <xf numFmtId="0" fontId="3" fillId="0" borderId="62" xfId="0" applyFont="1" applyBorder="1" applyAlignment="1">
      <alignment horizontal="left" vertical="center" wrapText="1"/>
    </xf>
    <xf numFmtId="0" fontId="11" fillId="0" borderId="12" xfId="0" applyFont="1" applyBorder="1" applyAlignment="1">
      <alignment vertical="top" wrapText="1"/>
    </xf>
    <xf numFmtId="0" fontId="22" fillId="5" borderId="95" xfId="0" applyFont="1" applyFill="1" applyBorder="1" applyAlignment="1">
      <alignment horizontal="left" vertical="center" wrapText="1"/>
    </xf>
    <xf numFmtId="0" fontId="11" fillId="0" borderId="95" xfId="0" applyFont="1" applyBorder="1" applyAlignment="1">
      <alignment horizontal="left" vertical="center" wrapText="1"/>
    </xf>
    <xf numFmtId="0" fontId="11" fillId="5" borderId="95" xfId="0" applyFont="1" applyFill="1" applyBorder="1" applyAlignment="1">
      <alignment horizontal="left" vertical="center" wrapText="1"/>
    </xf>
    <xf numFmtId="0" fontId="11" fillId="0" borderId="98" xfId="0" applyFont="1" applyBorder="1" applyAlignment="1">
      <alignment horizontal="left" vertical="top" wrapText="1"/>
    </xf>
    <xf numFmtId="0" fontId="11" fillId="0" borderId="98" xfId="0" applyFont="1" applyBorder="1"/>
    <xf numFmtId="0" fontId="11" fillId="0" borderId="119" xfId="0" applyFont="1" applyBorder="1"/>
    <xf numFmtId="0" fontId="11" fillId="0" borderId="77" xfId="0" applyFont="1" applyBorder="1"/>
    <xf numFmtId="0" fontId="11" fillId="0" borderId="124" xfId="0" applyFont="1" applyBorder="1"/>
    <xf numFmtId="0" fontId="11" fillId="3" borderId="1" xfId="0" applyFont="1" applyFill="1" applyBorder="1" applyAlignment="1">
      <alignment vertical="top" wrapText="1"/>
    </xf>
    <xf numFmtId="9" fontId="11" fillId="3" borderId="1" xfId="0" applyNumberFormat="1" applyFont="1" applyFill="1" applyBorder="1" applyAlignment="1">
      <alignment vertical="top" wrapText="1"/>
    </xf>
    <xf numFmtId="0" fontId="11" fillId="3" borderId="1" xfId="0" applyFont="1" applyFill="1" applyBorder="1" applyAlignment="1">
      <alignment horizontal="center" vertical="top" wrapText="1"/>
    </xf>
    <xf numFmtId="9" fontId="11" fillId="3" borderId="1" xfId="0" applyNumberFormat="1" applyFont="1" applyFill="1" applyBorder="1" applyAlignment="1">
      <alignment horizontal="center" vertical="top" wrapText="1"/>
    </xf>
    <xf numFmtId="0" fontId="11" fillId="3" borderId="1" xfId="0" applyFont="1" applyFill="1" applyBorder="1" applyAlignment="1">
      <alignment vertical="top"/>
    </xf>
    <xf numFmtId="2" fontId="11" fillId="3" borderId="1" xfId="0" applyNumberFormat="1" applyFont="1" applyFill="1" applyBorder="1" applyAlignment="1">
      <alignment horizontal="center" vertical="top" wrapText="1"/>
    </xf>
    <xf numFmtId="0" fontId="11" fillId="3" borderId="1" xfId="0" applyFont="1" applyFill="1" applyBorder="1" applyAlignment="1">
      <alignment horizontal="center" vertical="center" wrapText="1"/>
    </xf>
    <xf numFmtId="9" fontId="9" fillId="3" borderId="1" xfId="0" applyNumberFormat="1" applyFont="1" applyFill="1" applyBorder="1" applyAlignment="1">
      <alignment vertical="top" wrapText="1"/>
    </xf>
    <xf numFmtId="0" fontId="19" fillId="0" borderId="0" xfId="0" applyFont="1"/>
    <xf numFmtId="0" fontId="18" fillId="0" borderId="0" xfId="0" applyFont="1"/>
    <xf numFmtId="9" fontId="11" fillId="3" borderId="1" xfId="0" applyNumberFormat="1" applyFont="1" applyFill="1" applyBorder="1" applyAlignment="1">
      <alignment vertical="top"/>
    </xf>
    <xf numFmtId="0" fontId="11" fillId="3" borderId="1" xfId="0" applyFont="1" applyFill="1" applyBorder="1" applyAlignment="1">
      <alignment horizontal="left" vertical="top"/>
    </xf>
    <xf numFmtId="0" fontId="18" fillId="3" borderId="1" xfId="0" applyFont="1" applyFill="1" applyBorder="1"/>
    <xf numFmtId="0" fontId="4" fillId="2" borderId="1" xfId="0" applyFont="1" applyFill="1" applyBorder="1" applyAlignment="1">
      <alignment vertical="top"/>
    </xf>
    <xf numFmtId="0" fontId="2" fillId="2" borderId="1" xfId="0" applyFont="1" applyFill="1" applyBorder="1" applyAlignment="1">
      <alignment vertical="top"/>
    </xf>
    <xf numFmtId="0" fontId="25" fillId="0" borderId="0" xfId="0" applyFont="1"/>
    <xf numFmtId="0" fontId="24" fillId="0" borderId="0" xfId="0" applyFont="1"/>
    <xf numFmtId="0" fontId="4" fillId="2" borderId="1" xfId="0" applyFont="1" applyFill="1" applyBorder="1" applyAlignment="1">
      <alignment vertical="center"/>
    </xf>
    <xf numFmtId="0" fontId="28" fillId="4" borderId="66" xfId="0" applyFont="1" applyFill="1" applyBorder="1" applyAlignment="1">
      <alignment horizontal="left" vertical="top" wrapText="1"/>
    </xf>
    <xf numFmtId="9" fontId="29" fillId="4" borderId="69" xfId="0" applyNumberFormat="1" applyFont="1" applyFill="1" applyBorder="1" applyAlignment="1">
      <alignment horizontal="center" vertical="top" wrapText="1"/>
    </xf>
    <xf numFmtId="9" fontId="29" fillId="4" borderId="70" xfId="0" applyNumberFormat="1" applyFont="1" applyFill="1" applyBorder="1" applyAlignment="1">
      <alignment horizontal="center" vertical="top" wrapText="1"/>
    </xf>
    <xf numFmtId="0" fontId="29" fillId="4" borderId="70" xfId="0" applyFont="1" applyFill="1" applyBorder="1" applyAlignment="1">
      <alignment vertical="top" wrapText="1"/>
    </xf>
    <xf numFmtId="0" fontId="28" fillId="4" borderId="70" xfId="0" applyFont="1" applyFill="1" applyBorder="1" applyAlignment="1">
      <alignment vertical="top" wrapText="1"/>
    </xf>
    <xf numFmtId="0" fontId="32" fillId="4" borderId="71" xfId="0" applyFont="1" applyFill="1" applyBorder="1" applyAlignment="1">
      <alignment vertical="top" wrapText="1"/>
    </xf>
    <xf numFmtId="2" fontId="26" fillId="4" borderId="70" xfId="0" applyNumberFormat="1" applyFont="1" applyFill="1" applyBorder="1" applyAlignment="1">
      <alignment horizontal="center" vertical="top" wrapText="1"/>
    </xf>
    <xf numFmtId="0" fontId="34" fillId="0" borderId="74" xfId="0" applyFont="1" applyBorder="1"/>
    <xf numFmtId="0" fontId="29" fillId="4" borderId="76" xfId="0" applyFont="1" applyFill="1" applyBorder="1" applyAlignment="1">
      <alignment horizontal="center" vertical="top" wrapText="1"/>
    </xf>
    <xf numFmtId="0" fontId="29" fillId="4" borderId="18" xfId="0" applyFont="1" applyFill="1" applyBorder="1" applyAlignment="1">
      <alignment horizontal="center" vertical="top" wrapText="1"/>
    </xf>
    <xf numFmtId="0" fontId="29" fillId="4" borderId="18" xfId="0" applyFont="1" applyFill="1" applyBorder="1" applyAlignment="1">
      <alignment vertical="top" wrapText="1"/>
    </xf>
    <xf numFmtId="0" fontId="29" fillId="4" borderId="77" xfId="0" applyFont="1" applyFill="1" applyBorder="1" applyAlignment="1">
      <alignment vertical="top" wrapText="1"/>
    </xf>
    <xf numFmtId="0" fontId="35" fillId="4" borderId="78" xfId="0" applyFont="1" applyFill="1" applyBorder="1" applyAlignment="1">
      <alignment horizontal="left" vertical="top" wrapText="1"/>
    </xf>
    <xf numFmtId="2" fontId="26" fillId="4" borderId="18" xfId="0" applyNumberFormat="1" applyFont="1" applyFill="1" applyBorder="1" applyAlignment="1">
      <alignment horizontal="center" vertical="top" wrapText="1"/>
    </xf>
    <xf numFmtId="0" fontId="29" fillId="4" borderId="76" xfId="0" applyFont="1" applyFill="1" applyBorder="1" applyAlignment="1">
      <alignment vertical="top" wrapText="1"/>
    </xf>
    <xf numFmtId="0" fontId="29" fillId="4" borderId="82" xfId="0" applyFont="1" applyFill="1" applyBorder="1" applyAlignment="1">
      <alignment vertical="top" wrapText="1"/>
    </xf>
    <xf numFmtId="0" fontId="35" fillId="4" borderId="83" xfId="0" applyFont="1" applyFill="1" applyBorder="1" applyAlignment="1">
      <alignment horizontal="left" vertical="top" wrapText="1"/>
    </xf>
    <xf numFmtId="2" fontId="26" fillId="4" borderId="76" xfId="0" applyNumberFormat="1" applyFont="1" applyFill="1" applyBorder="1" applyAlignment="1">
      <alignment horizontal="center" vertical="top" wrapText="1"/>
    </xf>
    <xf numFmtId="0" fontId="2" fillId="0" borderId="18" xfId="0" applyFont="1" applyBorder="1" applyAlignment="1">
      <alignment horizontal="center" vertical="center"/>
    </xf>
    <xf numFmtId="0" fontId="2" fillId="0" borderId="95" xfId="0" applyFont="1" applyBorder="1" applyAlignment="1">
      <alignment horizontal="center" vertical="center"/>
    </xf>
    <xf numFmtId="0" fontId="2" fillId="0" borderId="12" xfId="0" applyFont="1" applyBorder="1" applyAlignment="1">
      <alignment horizontal="center" vertical="center"/>
    </xf>
    <xf numFmtId="0" fontId="40" fillId="0" borderId="0" xfId="0" applyFont="1"/>
    <xf numFmtId="9" fontId="6" fillId="0" borderId="12" xfId="0" applyNumberFormat="1" applyFont="1" applyBorder="1" applyAlignment="1">
      <alignment horizontal="center" vertical="center" wrapText="1"/>
    </xf>
    <xf numFmtId="0" fontId="44" fillId="0" borderId="12" xfId="0" applyFont="1" applyBorder="1" applyAlignment="1">
      <alignment horizontal="center" vertical="center" wrapText="1"/>
    </xf>
    <xf numFmtId="0" fontId="6" fillId="0" borderId="18" xfId="0" applyFont="1" applyBorder="1" applyAlignment="1">
      <alignment horizontal="center" vertical="center" wrapText="1"/>
    </xf>
    <xf numFmtId="0" fontId="44" fillId="0" borderId="18" xfId="0" applyFont="1" applyBorder="1" applyAlignment="1">
      <alignment horizontal="center" vertical="center" wrapText="1"/>
    </xf>
    <xf numFmtId="0" fontId="6" fillId="0" borderId="95" xfId="0" applyFont="1" applyBorder="1" applyAlignment="1">
      <alignment horizontal="center" vertical="center" wrapText="1"/>
    </xf>
    <xf numFmtId="0" fontId="44" fillId="0" borderId="95"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2" xfId="0" applyFont="1" applyBorder="1" applyAlignment="1">
      <alignment horizontal="left" vertical="center" wrapText="1"/>
    </xf>
    <xf numFmtId="9" fontId="6" fillId="0" borderId="98" xfId="0" applyNumberFormat="1" applyFont="1" applyBorder="1" applyAlignment="1">
      <alignment horizontal="center" vertical="center" wrapText="1"/>
    </xf>
    <xf numFmtId="0" fontId="44" fillId="0" borderId="98" xfId="0" applyFont="1" applyBorder="1" applyAlignment="1">
      <alignment horizontal="left" vertical="top" wrapText="1"/>
    </xf>
    <xf numFmtId="0" fontId="6" fillId="0" borderId="98" xfId="0" applyFont="1" applyBorder="1" applyAlignment="1">
      <alignment horizontal="left" vertical="center" wrapText="1"/>
    </xf>
    <xf numFmtId="0" fontId="6" fillId="0" borderId="74" xfId="0" applyFont="1" applyBorder="1" applyAlignment="1">
      <alignment horizontal="center" vertical="center" wrapText="1"/>
    </xf>
    <xf numFmtId="0" fontId="6" fillId="0" borderId="18" xfId="0" applyFont="1" applyBorder="1" applyAlignment="1">
      <alignment horizontal="left" vertical="top" wrapText="1"/>
    </xf>
    <xf numFmtId="0" fontId="44" fillId="0" borderId="18" xfId="0" applyFont="1" applyBorder="1" applyAlignment="1">
      <alignment horizontal="left" vertical="center" wrapText="1"/>
    </xf>
    <xf numFmtId="9" fontId="6" fillId="0" borderId="18" xfId="0" applyNumberFormat="1" applyFont="1" applyBorder="1" applyAlignment="1">
      <alignment horizontal="center" vertical="center" wrapText="1"/>
    </xf>
    <xf numFmtId="0" fontId="44" fillId="0" borderId="18" xfId="0" applyFont="1" applyBorder="1" applyAlignment="1">
      <alignment horizontal="left" vertical="top" wrapText="1"/>
    </xf>
    <xf numFmtId="0" fontId="6" fillId="0" borderId="18" xfId="0" applyFont="1" applyBorder="1" applyAlignment="1">
      <alignment horizontal="left" vertical="center" wrapText="1"/>
    </xf>
    <xf numFmtId="0" fontId="6" fillId="0" borderId="52" xfId="0" applyFont="1" applyBorder="1" applyAlignment="1">
      <alignment horizontal="center" vertical="center" wrapText="1"/>
    </xf>
    <xf numFmtId="0" fontId="44" fillId="0" borderId="52" xfId="0" applyFont="1" applyBorder="1" applyAlignment="1">
      <alignment horizontal="left" vertical="center" wrapText="1"/>
    </xf>
    <xf numFmtId="0" fontId="6" fillId="5" borderId="18" xfId="0" applyFont="1" applyFill="1" applyBorder="1" applyAlignment="1">
      <alignment horizontal="center" vertical="center" wrapText="1"/>
    </xf>
    <xf numFmtId="9" fontId="6" fillId="0" borderId="10" xfId="0" applyNumberFormat="1" applyFont="1" applyBorder="1" applyAlignment="1">
      <alignment horizontal="center" vertical="center" wrapText="1"/>
    </xf>
    <xf numFmtId="0" fontId="44" fillId="0" borderId="18" xfId="0" applyFont="1" applyBorder="1" applyAlignment="1">
      <alignment horizontal="center" wrapText="1"/>
    </xf>
    <xf numFmtId="0" fontId="6" fillId="0" borderId="18" xfId="0" applyFont="1" applyBorder="1" applyAlignment="1">
      <alignment horizontal="center" wrapText="1"/>
    </xf>
    <xf numFmtId="0" fontId="6" fillId="0" borderId="16" xfId="0" applyFont="1" applyBorder="1" applyAlignment="1">
      <alignment horizontal="center" vertical="center" wrapText="1"/>
    </xf>
    <xf numFmtId="0" fontId="6" fillId="0" borderId="26" xfId="0" applyFont="1" applyBorder="1" applyAlignment="1">
      <alignment horizontal="center" vertical="center" wrapText="1"/>
    </xf>
    <xf numFmtId="0" fontId="6" fillId="5" borderId="12" xfId="0" applyFont="1" applyFill="1" applyBorder="1" applyAlignment="1">
      <alignment horizontal="center" vertical="center" wrapText="1"/>
    </xf>
    <xf numFmtId="164" fontId="49" fillId="0" borderId="58" xfId="0" applyNumberFormat="1" applyFont="1" applyBorder="1" applyAlignment="1">
      <alignment horizontal="center" vertical="center" wrapText="1"/>
    </xf>
    <xf numFmtId="0" fontId="50" fillId="0" borderId="0" xfId="0" applyFont="1"/>
    <xf numFmtId="0" fontId="50" fillId="0" borderId="0" xfId="0" applyFont="1" applyAlignment="1">
      <alignment wrapText="1"/>
    </xf>
    <xf numFmtId="0" fontId="42" fillId="3" borderId="1" xfId="0" applyFont="1" applyFill="1" applyBorder="1" applyAlignment="1">
      <alignment vertical="center" wrapText="1"/>
    </xf>
    <xf numFmtId="2" fontId="6" fillId="3" borderId="1" xfId="0" applyNumberFormat="1" applyFont="1" applyFill="1" applyBorder="1" applyAlignment="1">
      <alignment horizontal="center" vertical="center" wrapText="1"/>
    </xf>
    <xf numFmtId="0" fontId="51" fillId="0" borderId="101" xfId="0" applyFont="1" applyBorder="1" applyAlignment="1">
      <alignment horizontal="left" vertical="top" wrapText="1"/>
    </xf>
    <xf numFmtId="0" fontId="52" fillId="3" borderId="71" xfId="0" applyFont="1" applyFill="1" applyBorder="1" applyAlignment="1">
      <alignment horizontal="left" vertical="top" wrapText="1"/>
    </xf>
    <xf numFmtId="0" fontId="51" fillId="0" borderId="77" xfId="0" applyFont="1" applyBorder="1" applyAlignment="1">
      <alignment horizontal="left" vertical="top" wrapText="1"/>
    </xf>
    <xf numFmtId="0" fontId="52" fillId="3" borderId="78" xfId="0" applyFont="1" applyFill="1" applyBorder="1" applyAlignment="1">
      <alignment horizontal="left" vertical="top" wrapText="1"/>
    </xf>
    <xf numFmtId="0" fontId="51" fillId="0" borderId="53" xfId="0" applyFont="1" applyBorder="1" applyAlignment="1">
      <alignment horizontal="left" vertical="top" wrapText="1"/>
    </xf>
    <xf numFmtId="0" fontId="52" fillId="3" borderId="83" xfId="0" applyFont="1" applyFill="1" applyBorder="1" applyAlignment="1">
      <alignment horizontal="left" vertical="top" wrapText="1"/>
    </xf>
    <xf numFmtId="0" fontId="5" fillId="4" borderId="56" xfId="0" applyFont="1" applyFill="1" applyBorder="1" applyAlignment="1">
      <alignment horizontal="center" vertical="center" wrapText="1"/>
    </xf>
    <xf numFmtId="0" fontId="6" fillId="0" borderId="76" xfId="0" applyFont="1" applyBorder="1" applyAlignment="1">
      <alignment horizontal="center" vertical="center" wrapText="1"/>
    </xf>
    <xf numFmtId="9" fontId="6" fillId="0" borderId="136" xfId="0" applyNumberFormat="1" applyFont="1" applyBorder="1" applyAlignment="1">
      <alignment horizontal="center" vertical="center" wrapText="1"/>
    </xf>
    <xf numFmtId="0" fontId="6" fillId="0" borderId="146" xfId="0" applyFont="1" applyBorder="1" applyAlignment="1">
      <alignment horizontal="center" vertical="center" wrapText="1"/>
    </xf>
    <xf numFmtId="0" fontId="6" fillId="0" borderId="103" xfId="0" applyFont="1" applyBorder="1" applyAlignment="1">
      <alignment horizontal="center" vertical="center" wrapText="1"/>
    </xf>
    <xf numFmtId="9" fontId="6" fillId="0" borderId="148" xfId="0" applyNumberFormat="1" applyFont="1" applyBorder="1" applyAlignment="1">
      <alignment horizontal="center" vertical="center" wrapText="1"/>
    </xf>
    <xf numFmtId="0" fontId="6" fillId="0" borderId="149" xfId="0" applyFont="1" applyBorder="1" applyAlignment="1">
      <alignment horizontal="center" vertical="center" wrapText="1"/>
    </xf>
    <xf numFmtId="0" fontId="6" fillId="0" borderId="78" xfId="0" applyFont="1" applyBorder="1" applyAlignment="1">
      <alignment horizontal="center" vertical="center" wrapText="1"/>
    </xf>
    <xf numFmtId="0" fontId="6" fillId="0" borderId="150" xfId="0" applyFont="1" applyBorder="1" applyAlignment="1">
      <alignment horizontal="center" vertical="center" wrapText="1"/>
    </xf>
    <xf numFmtId="0" fontId="6" fillId="0" borderId="126" xfId="0" applyFont="1" applyBorder="1" applyAlignment="1">
      <alignment horizontal="center" vertical="center" wrapText="1"/>
    </xf>
    <xf numFmtId="0" fontId="44" fillId="0" borderId="95" xfId="0" applyFont="1" applyBorder="1" applyAlignment="1">
      <alignment horizontal="left" vertical="center" wrapText="1"/>
    </xf>
    <xf numFmtId="0" fontId="39" fillId="0" borderId="116" xfId="0" applyFont="1" applyBorder="1" applyAlignment="1">
      <alignment vertical="top"/>
    </xf>
    <xf numFmtId="0" fontId="39" fillId="0" borderId="105" xfId="0" applyFont="1" applyBorder="1" applyAlignment="1">
      <alignment vertical="top"/>
    </xf>
    <xf numFmtId="0" fontId="6" fillId="3" borderId="1" xfId="0" applyFont="1" applyFill="1" applyBorder="1" applyAlignment="1">
      <alignment vertical="top"/>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42" fillId="3" borderId="1" xfId="0" applyNumberFormat="1" applyFont="1" applyFill="1" applyBorder="1" applyAlignment="1">
      <alignment vertical="top" wrapText="1"/>
    </xf>
    <xf numFmtId="0" fontId="45" fillId="0" borderId="0" xfId="0" applyFont="1"/>
    <xf numFmtId="0" fontId="41" fillId="0" borderId="0" xfId="0" applyFont="1"/>
    <xf numFmtId="9" fontId="6" fillId="3" borderId="1" xfId="0" applyNumberFormat="1" applyFont="1" applyFill="1" applyBorder="1" applyAlignment="1">
      <alignment vertical="top"/>
    </xf>
    <xf numFmtId="0" fontId="44" fillId="0" borderId="136" xfId="0" applyFont="1" applyBorder="1" applyAlignment="1">
      <alignment horizontal="left" vertical="top" wrapText="1"/>
    </xf>
    <xf numFmtId="0" fontId="44" fillId="0" borderId="146" xfId="0" applyFont="1" applyBorder="1" applyAlignment="1">
      <alignment horizontal="left" vertical="center" wrapText="1"/>
    </xf>
    <xf numFmtId="0" fontId="44" fillId="2" borderId="1" xfId="0" applyFont="1" applyFill="1" applyBorder="1" applyAlignment="1">
      <alignment vertical="top"/>
    </xf>
    <xf numFmtId="0" fontId="44" fillId="0" borderId="12" xfId="0" applyFont="1" applyBorder="1" applyAlignment="1">
      <alignment vertical="top"/>
    </xf>
    <xf numFmtId="0" fontId="6" fillId="2" borderId="1" xfId="0" applyFont="1" applyFill="1" applyBorder="1" applyAlignment="1">
      <alignment vertical="top"/>
    </xf>
    <xf numFmtId="0" fontId="44" fillId="0" borderId="0" xfId="0" applyFont="1"/>
    <xf numFmtId="0" fontId="44" fillId="0" borderId="18" xfId="0" applyFont="1" applyBorder="1" applyAlignment="1">
      <alignment horizontal="left" vertical="top"/>
    </xf>
    <xf numFmtId="0" fontId="6" fillId="3" borderId="23" xfId="0" applyFont="1" applyFill="1" applyBorder="1" applyAlignment="1">
      <alignment horizontal="left" vertical="top" wrapText="1"/>
    </xf>
    <xf numFmtId="0" fontId="44" fillId="0" borderId="18" xfId="0" applyFont="1" applyBorder="1" applyAlignment="1">
      <alignment vertical="center" wrapText="1"/>
    </xf>
    <xf numFmtId="0" fontId="44" fillId="0" borderId="136" xfId="0" applyFont="1" applyBorder="1" applyAlignment="1">
      <alignment horizontal="left" vertical="center" wrapText="1"/>
    </xf>
    <xf numFmtId="0" fontId="44" fillId="0" borderId="146" xfId="0" applyFont="1" applyBorder="1" applyAlignment="1">
      <alignment vertical="center" wrapText="1"/>
    </xf>
    <xf numFmtId="0" fontId="44" fillId="0" borderId="95" xfId="0" applyFont="1" applyBorder="1" applyAlignment="1">
      <alignment horizontal="left" vertical="top" wrapText="1"/>
    </xf>
    <xf numFmtId="0" fontId="6" fillId="0" borderId="95" xfId="0" applyFont="1" applyBorder="1" applyAlignment="1">
      <alignment horizontal="left" vertical="center" wrapText="1"/>
    </xf>
    <xf numFmtId="0" fontId="6" fillId="0" borderId="76" xfId="0" applyFont="1" applyBorder="1" applyAlignment="1">
      <alignment horizontal="left" vertical="center" wrapText="1"/>
    </xf>
    <xf numFmtId="0" fontId="6" fillId="0" borderId="136" xfId="0" applyFont="1" applyBorder="1" applyAlignment="1">
      <alignment horizontal="left" vertical="center" wrapText="1"/>
    </xf>
    <xf numFmtId="0" fontId="6" fillId="0" borderId="146" xfId="0" applyFont="1" applyBorder="1" applyAlignment="1">
      <alignment horizontal="left" vertical="center" wrapText="1"/>
    </xf>
    <xf numFmtId="0" fontId="6" fillId="0" borderId="81" xfId="0" applyFont="1" applyBorder="1" applyAlignment="1">
      <alignment vertical="center" wrapText="1"/>
    </xf>
    <xf numFmtId="0" fontId="6" fillId="0" borderId="75" xfId="0" applyFont="1" applyBorder="1" applyAlignment="1">
      <alignment vertical="center" wrapText="1"/>
    </xf>
    <xf numFmtId="2" fontId="52" fillId="3" borderId="160" xfId="0" applyNumberFormat="1" applyFont="1" applyFill="1" applyBorder="1" applyAlignment="1">
      <alignment horizontal="center" vertical="center" wrapText="1"/>
    </xf>
    <xf numFmtId="2" fontId="52" fillId="3" borderId="157" xfId="0" applyNumberFormat="1" applyFont="1" applyFill="1" applyBorder="1" applyAlignment="1">
      <alignment horizontal="center" vertical="center" wrapText="1"/>
    </xf>
    <xf numFmtId="2" fontId="52" fillId="3" borderId="163" xfId="0" applyNumberFormat="1" applyFont="1" applyFill="1" applyBorder="1" applyAlignment="1">
      <alignment horizontal="center" vertical="center" wrapText="1"/>
    </xf>
    <xf numFmtId="2" fontId="52" fillId="3" borderId="98" xfId="0" applyNumberFormat="1" applyFont="1" applyFill="1" applyBorder="1" applyAlignment="1">
      <alignment horizontal="center" vertical="center" wrapText="1"/>
    </xf>
    <xf numFmtId="2" fontId="52" fillId="3" borderId="12" xfId="0" applyNumberFormat="1" applyFont="1" applyFill="1" applyBorder="1" applyAlignment="1">
      <alignment horizontal="center" vertical="center" wrapText="1"/>
    </xf>
    <xf numFmtId="165" fontId="52" fillId="3" borderId="70" xfId="0" applyNumberFormat="1" applyFont="1" applyFill="1" applyBorder="1" applyAlignment="1">
      <alignment horizontal="center" vertical="top" wrapText="1"/>
    </xf>
    <xf numFmtId="2" fontId="52" fillId="3" borderId="18" xfId="0" applyNumberFormat="1" applyFont="1" applyFill="1" applyBorder="1" applyAlignment="1">
      <alignment horizontal="center" vertical="top" wrapText="1"/>
    </xf>
    <xf numFmtId="165" fontId="52" fillId="3" borderId="18" xfId="0" applyNumberFormat="1" applyFont="1" applyFill="1" applyBorder="1" applyAlignment="1">
      <alignment horizontal="center" vertical="top" wrapText="1"/>
    </xf>
    <xf numFmtId="2" fontId="52" fillId="3" borderId="76" xfId="0" applyNumberFormat="1" applyFont="1" applyFill="1" applyBorder="1" applyAlignment="1">
      <alignment horizontal="center" vertical="top" wrapText="1"/>
    </xf>
    <xf numFmtId="164" fontId="52" fillId="0" borderId="12" xfId="0" applyNumberFormat="1" applyFont="1" applyBorder="1" applyAlignment="1">
      <alignment horizontal="center" vertical="center" wrapText="1"/>
    </xf>
    <xf numFmtId="164" fontId="52" fillId="0" borderId="18" xfId="0" applyNumberFormat="1" applyFont="1" applyBorder="1" applyAlignment="1">
      <alignment horizontal="center" vertical="center" wrapText="1"/>
    </xf>
    <xf numFmtId="164" fontId="52" fillId="0" borderId="95" xfId="0" applyNumberFormat="1" applyFont="1" applyBorder="1" applyAlignment="1">
      <alignment horizontal="center" vertical="center" wrapText="1"/>
    </xf>
    <xf numFmtId="164" fontId="52" fillId="0" borderId="76" xfId="0" applyNumberFormat="1" applyFont="1" applyBorder="1" applyAlignment="1">
      <alignment horizontal="center" vertical="center" wrapText="1"/>
    </xf>
    <xf numFmtId="164" fontId="52" fillId="0" borderId="136" xfId="0" applyNumberFormat="1" applyFont="1" applyBorder="1" applyAlignment="1">
      <alignment horizontal="center" vertical="center" wrapText="1"/>
    </xf>
    <xf numFmtId="164" fontId="52" fillId="0" borderId="146" xfId="0" applyNumberFormat="1" applyFont="1" applyBorder="1" applyAlignment="1">
      <alignment horizontal="center" vertical="center" wrapText="1"/>
    </xf>
    <xf numFmtId="164" fontId="52" fillId="0" borderId="98" xfId="0" applyNumberFormat="1" applyFont="1" applyBorder="1" applyAlignment="1">
      <alignment horizontal="center" vertical="center" wrapText="1"/>
    </xf>
    <xf numFmtId="164" fontId="52" fillId="0" borderId="52" xfId="0" applyNumberFormat="1" applyFont="1" applyBorder="1" applyAlignment="1">
      <alignment horizontal="center" vertical="center" wrapText="1"/>
    </xf>
    <xf numFmtId="0" fontId="6" fillId="0" borderId="12" xfId="0" applyFont="1" applyBorder="1" applyAlignment="1">
      <alignment vertical="center" wrapText="1"/>
    </xf>
    <xf numFmtId="0" fontId="6" fillId="0" borderId="18" xfId="0" applyFont="1" applyBorder="1" applyAlignment="1">
      <alignment vertical="center" wrapText="1"/>
    </xf>
    <xf numFmtId="0" fontId="44" fillId="0" borderId="0" xfId="0" applyFont="1" applyAlignment="1">
      <alignment horizontal="left" vertical="center" wrapText="1"/>
    </xf>
    <xf numFmtId="0" fontId="6" fillId="0" borderId="17" xfId="0" applyFont="1" applyBorder="1" applyAlignment="1">
      <alignment horizontal="left" vertical="center" wrapText="1"/>
    </xf>
    <xf numFmtId="0" fontId="6" fillId="0" borderId="118" xfId="0" applyFont="1" applyBorder="1" applyAlignment="1">
      <alignment horizontal="center" vertical="center"/>
    </xf>
    <xf numFmtId="164" fontId="6" fillId="0" borderId="12" xfId="0" applyNumberFormat="1" applyFont="1" applyBorder="1" applyAlignment="1">
      <alignment horizontal="center" vertical="center" wrapText="1"/>
    </xf>
    <xf numFmtId="164" fontId="6" fillId="0" borderId="67" xfId="0" applyNumberFormat="1" applyFont="1" applyBorder="1" applyAlignment="1">
      <alignment horizontal="center" vertical="center" wrapText="1"/>
    </xf>
    <xf numFmtId="0" fontId="6" fillId="0" borderId="18" xfId="0" applyFont="1" applyBorder="1" applyAlignment="1">
      <alignment horizontal="center" vertical="center"/>
    </xf>
    <xf numFmtId="0" fontId="6" fillId="0" borderId="76" xfId="0" applyFont="1" applyBorder="1" applyAlignment="1">
      <alignment horizontal="center" vertical="center"/>
    </xf>
    <xf numFmtId="0" fontId="6" fillId="0" borderId="136" xfId="0" applyFont="1" applyBorder="1" applyAlignment="1">
      <alignment horizontal="center" vertical="center"/>
    </xf>
    <xf numFmtId="164" fontId="6" fillId="0" borderId="166" xfId="0" applyNumberFormat="1" applyFont="1" applyBorder="1" applyAlignment="1">
      <alignment horizontal="center" vertical="center" wrapText="1"/>
    </xf>
    <xf numFmtId="164" fontId="6" fillId="0" borderId="15" xfId="0" applyNumberFormat="1" applyFont="1" applyBorder="1" applyAlignment="1">
      <alignment horizontal="center" vertical="center" wrapText="1"/>
    </xf>
    <xf numFmtId="0" fontId="6" fillId="0" borderId="146" xfId="0" applyFont="1" applyBorder="1" applyAlignment="1">
      <alignment horizontal="center" vertical="center"/>
    </xf>
    <xf numFmtId="164" fontId="6" fillId="0" borderId="169" xfId="0" applyNumberFormat="1" applyFont="1" applyBorder="1" applyAlignment="1">
      <alignment horizontal="center" vertical="center" wrapText="1"/>
    </xf>
    <xf numFmtId="0" fontId="6" fillId="0" borderId="98" xfId="0" applyFont="1" applyBorder="1" applyAlignment="1">
      <alignment horizontal="center" vertical="center"/>
    </xf>
    <xf numFmtId="164" fontId="6" fillId="0" borderId="129" xfId="0" applyNumberFormat="1" applyFont="1" applyBorder="1" applyAlignment="1">
      <alignment horizontal="center" vertical="center" wrapText="1"/>
    </xf>
    <xf numFmtId="0" fontId="6" fillId="0" borderId="62" xfId="0" applyFont="1" applyBorder="1" applyAlignment="1">
      <alignment horizontal="center" vertical="center"/>
    </xf>
    <xf numFmtId="9" fontId="44" fillId="0" borderId="12" xfId="0" applyNumberFormat="1" applyFont="1" applyBorder="1" applyAlignment="1">
      <alignment horizontal="center" vertical="center" wrapText="1"/>
    </xf>
    <xf numFmtId="0" fontId="37" fillId="0" borderId="118" xfId="0" applyFont="1" applyBorder="1" applyAlignment="1">
      <alignment horizontal="center" vertical="center" wrapText="1"/>
    </xf>
    <xf numFmtId="0" fontId="37" fillId="0" borderId="18" xfId="0" applyFont="1" applyBorder="1" applyAlignment="1">
      <alignment horizontal="center" vertical="center" wrapText="1"/>
    </xf>
    <xf numFmtId="0" fontId="37" fillId="0" borderId="76" xfId="0" applyFont="1" applyBorder="1" applyAlignment="1">
      <alignment horizontal="center" vertical="center" wrapText="1"/>
    </xf>
    <xf numFmtId="0" fontId="63" fillId="0" borderId="136" xfId="0" applyFont="1" applyBorder="1" applyAlignment="1">
      <alignment horizontal="center" vertical="center" wrapText="1" readingOrder="1"/>
    </xf>
    <xf numFmtId="0" fontId="63" fillId="0" borderId="165" xfId="0" applyFont="1" applyBorder="1" applyAlignment="1">
      <alignment horizontal="center" vertical="center" wrapText="1" readingOrder="1"/>
    </xf>
    <xf numFmtId="0" fontId="63" fillId="0" borderId="18" xfId="0" applyFont="1" applyBorder="1" applyAlignment="1">
      <alignment horizontal="center" vertical="center" wrapText="1" readingOrder="1"/>
    </xf>
    <xf numFmtId="0" fontId="63" fillId="0" borderId="127" xfId="0" applyFont="1" applyBorder="1" applyAlignment="1">
      <alignment horizontal="center" vertical="center" wrapText="1" readingOrder="1"/>
    </xf>
    <xf numFmtId="0" fontId="63" fillId="0" borderId="146" xfId="0" applyFont="1" applyBorder="1" applyAlignment="1">
      <alignment horizontal="center" vertical="center" wrapText="1" readingOrder="1"/>
    </xf>
    <xf numFmtId="0" fontId="63" fillId="0" borderId="168" xfId="0" applyFont="1" applyBorder="1" applyAlignment="1">
      <alignment horizontal="center" vertical="center" wrapText="1" readingOrder="1"/>
    </xf>
    <xf numFmtId="0" fontId="37" fillId="0" borderId="81" xfId="0" applyFont="1" applyBorder="1" applyAlignment="1">
      <alignment horizontal="left" vertical="center" wrapText="1"/>
    </xf>
    <xf numFmtId="0" fontId="37" fillId="0" borderId="81" xfId="0" applyFont="1" applyBorder="1" applyAlignment="1">
      <alignment horizontal="center" vertical="center" wrapText="1"/>
    </xf>
    <xf numFmtId="0" fontId="37" fillId="0" borderId="18" xfId="0" applyFont="1" applyBorder="1" applyAlignment="1">
      <alignment horizontal="left" vertical="center" wrapText="1"/>
    </xf>
    <xf numFmtId="0" fontId="63" fillId="0" borderId="18" xfId="0" applyFont="1" applyBorder="1" applyAlignment="1">
      <alignment horizontal="left" vertical="center" wrapText="1"/>
    </xf>
    <xf numFmtId="0" fontId="63" fillId="0" borderId="18" xfId="0" applyFont="1" applyBorder="1" applyAlignment="1">
      <alignment horizontal="center" vertical="center" wrapText="1"/>
    </xf>
    <xf numFmtId="0" fontId="63" fillId="0" borderId="12" xfId="0" applyFont="1" applyBorder="1" applyAlignment="1">
      <alignment vertical="center" wrapText="1"/>
    </xf>
    <xf numFmtId="0" fontId="63" fillId="0" borderId="12" xfId="0" applyFont="1" applyBorder="1" applyAlignment="1">
      <alignment horizontal="left" vertical="center" wrapText="1"/>
    </xf>
    <xf numFmtId="0" fontId="63" fillId="0" borderId="95" xfId="0" applyFont="1" applyBorder="1" applyAlignment="1">
      <alignment horizontal="left" vertical="center" wrapText="1"/>
    </xf>
    <xf numFmtId="164" fontId="42" fillId="3" borderId="121" xfId="0" applyNumberFormat="1" applyFont="1" applyFill="1" applyBorder="1" applyAlignment="1">
      <alignment horizontal="center" vertical="center" wrapText="1"/>
    </xf>
    <xf numFmtId="164" fontId="43" fillId="3" borderId="56" xfId="0" applyNumberFormat="1" applyFont="1" applyFill="1" applyBorder="1" applyAlignment="1">
      <alignment horizontal="center" vertical="center" wrapText="1"/>
    </xf>
    <xf numFmtId="164" fontId="52" fillId="7" borderId="18" xfId="0" applyNumberFormat="1" applyFont="1" applyFill="1" applyBorder="1" applyAlignment="1">
      <alignment horizontal="center" vertical="center" wrapText="1"/>
    </xf>
    <xf numFmtId="0" fontId="6" fillId="7" borderId="18" xfId="0" applyFont="1" applyFill="1" applyBorder="1" applyAlignment="1">
      <alignment horizontal="center" vertical="center" wrapText="1"/>
    </xf>
    <xf numFmtId="164" fontId="6" fillId="7" borderId="12" xfId="0" applyNumberFormat="1" applyFont="1" applyFill="1" applyBorder="1" applyAlignment="1">
      <alignment horizontal="center" vertical="center" wrapText="1"/>
    </xf>
    <xf numFmtId="0" fontId="6" fillId="0" borderId="67" xfId="0" applyFont="1" applyBorder="1" applyAlignment="1">
      <alignment horizontal="center" vertical="center" wrapText="1"/>
    </xf>
    <xf numFmtId="0" fontId="39" fillId="0" borderId="75" xfId="0" applyFont="1" applyBorder="1"/>
    <xf numFmtId="0" fontId="39" fillId="0" borderId="98" xfId="0" applyFont="1" applyBorder="1"/>
    <xf numFmtId="0" fontId="6" fillId="0" borderId="130" xfId="0" applyFont="1" applyBorder="1" applyAlignment="1">
      <alignment horizontal="center" vertical="center" wrapText="1"/>
    </xf>
    <xf numFmtId="0" fontId="39" fillId="0" borderId="138" xfId="0" applyFont="1" applyBorder="1"/>
    <xf numFmtId="0" fontId="39" fillId="0" borderId="140" xfId="0" applyFont="1" applyBorder="1"/>
    <xf numFmtId="0" fontId="6" fillId="0" borderId="135" xfId="0" applyFont="1" applyBorder="1" applyAlignment="1">
      <alignment horizontal="center" vertical="center" wrapText="1"/>
    </xf>
    <xf numFmtId="0" fontId="39" fillId="0" borderId="81" xfId="0" applyFont="1" applyBorder="1"/>
    <xf numFmtId="0" fontId="39" fillId="0" borderId="145" xfId="0" applyFont="1" applyBorder="1"/>
    <xf numFmtId="0" fontId="6" fillId="0" borderId="88" xfId="0" applyFont="1" applyBorder="1" applyAlignment="1">
      <alignment horizontal="center" vertical="center" wrapText="1"/>
    </xf>
    <xf numFmtId="0" fontId="39" fillId="0" borderId="74" xfId="0" applyFont="1" applyBorder="1"/>
    <xf numFmtId="0" fontId="39" fillId="0" borderId="126" xfId="0" applyFont="1" applyBorder="1"/>
    <xf numFmtId="0" fontId="48" fillId="0" borderId="151" xfId="0" applyFont="1" applyBorder="1" applyAlignment="1">
      <alignment horizontal="center" vertical="center" wrapText="1"/>
    </xf>
    <xf numFmtId="0" fontId="39" fillId="0" borderId="152" xfId="0" applyFont="1" applyBorder="1"/>
    <xf numFmtId="0" fontId="39" fillId="0" borderId="153" xfId="0" applyFont="1" applyBorder="1"/>
    <xf numFmtId="0" fontId="47" fillId="0" borderId="40" xfId="0" applyFont="1" applyBorder="1" applyAlignment="1">
      <alignment horizontal="center" vertical="center" wrapText="1"/>
    </xf>
    <xf numFmtId="0" fontId="39" fillId="0" borderId="48" xfId="0" applyFont="1" applyBorder="1"/>
    <xf numFmtId="0" fontId="39" fillId="0" borderId="55" xfId="0" applyFont="1" applyBorder="1"/>
    <xf numFmtId="0" fontId="39" fillId="0" borderId="116" xfId="0" applyFont="1" applyBorder="1"/>
    <xf numFmtId="0" fontId="39" fillId="0" borderId="105" xfId="0" applyFont="1" applyBorder="1"/>
    <xf numFmtId="0" fontId="6" fillId="0" borderId="85" xfId="0" applyFont="1" applyBorder="1" applyAlignment="1">
      <alignment horizontal="center" vertical="center" wrapText="1"/>
    </xf>
    <xf numFmtId="0" fontId="39" fillId="0" borderId="73" xfId="0" applyFont="1" applyBorder="1"/>
    <xf numFmtId="0" fontId="39" fillId="0" borderId="62" xfId="0" applyFont="1" applyBorder="1"/>
    <xf numFmtId="0" fontId="39" fillId="0" borderId="61" xfId="0" applyFont="1" applyBorder="1"/>
    <xf numFmtId="0" fontId="6" fillId="0" borderId="133" xfId="0" applyFont="1" applyBorder="1" applyAlignment="1">
      <alignment horizontal="center" vertical="center" wrapText="1"/>
    </xf>
    <xf numFmtId="0" fontId="39" fillId="0" borderId="134" xfId="0" applyFont="1" applyBorder="1"/>
    <xf numFmtId="0" fontId="39" fillId="0" borderId="128" xfId="0" applyFont="1" applyBorder="1"/>
    <xf numFmtId="0" fontId="39" fillId="0" borderId="143" xfId="0" applyFont="1" applyBorder="1"/>
    <xf numFmtId="0" fontId="39" fillId="0" borderId="144" xfId="0" applyFont="1" applyBorder="1"/>
    <xf numFmtId="49" fontId="6" fillId="0" borderId="135" xfId="0" applyNumberFormat="1" applyFont="1" applyBorder="1" applyAlignment="1">
      <alignment horizontal="center" vertical="center" wrapText="1"/>
    </xf>
    <xf numFmtId="9" fontId="6" fillId="0" borderId="135" xfId="0" applyNumberFormat="1" applyFont="1" applyBorder="1" applyAlignment="1">
      <alignment horizontal="center" vertical="center"/>
    </xf>
    <xf numFmtId="9" fontId="6" fillId="0" borderId="67" xfId="0" applyNumberFormat="1" applyFont="1" applyBorder="1" applyAlignment="1">
      <alignment horizontal="center" vertical="center"/>
    </xf>
    <xf numFmtId="0" fontId="6" fillId="0" borderId="86" xfId="0" applyFont="1" applyBorder="1" applyAlignment="1">
      <alignment horizontal="center" vertical="center" wrapText="1"/>
    </xf>
    <xf numFmtId="0" fontId="39" fillId="0" borderId="88" xfId="0" applyFont="1" applyBorder="1"/>
    <xf numFmtId="0" fontId="39" fillId="0" borderId="91" xfId="0" applyFont="1" applyBorder="1"/>
    <xf numFmtId="0" fontId="39" fillId="0" borderId="99" xfId="0" applyFont="1" applyBorder="1"/>
    <xf numFmtId="0" fontId="39" fillId="0" borderId="102" xfId="0" applyFont="1" applyBorder="1"/>
    <xf numFmtId="49" fontId="6" fillId="0" borderId="67" xfId="0" applyNumberFormat="1" applyFont="1" applyBorder="1" applyAlignment="1">
      <alignment horizontal="center" vertical="center" wrapText="1"/>
    </xf>
    <xf numFmtId="0" fontId="6" fillId="0" borderId="131" xfId="0" applyFont="1" applyBorder="1" applyAlignment="1">
      <alignment horizontal="center" vertical="center" wrapText="1"/>
    </xf>
    <xf numFmtId="0" fontId="39" fillId="0" borderId="84" xfId="0" applyFont="1" applyBorder="1"/>
    <xf numFmtId="0" fontId="39" fillId="0" borderId="141" xfId="0" applyFont="1" applyBorder="1"/>
    <xf numFmtId="0" fontId="6" fillId="0" borderId="135" xfId="0" applyFont="1" applyBorder="1" applyAlignment="1">
      <alignment horizontal="left" vertical="center" wrapText="1"/>
    </xf>
    <xf numFmtId="0" fontId="6" fillId="0" borderId="151" xfId="0" applyFont="1" applyBorder="1" applyAlignment="1">
      <alignment horizontal="center" vertical="center" wrapText="1"/>
    </xf>
    <xf numFmtId="0" fontId="6" fillId="0" borderId="113" xfId="0" applyFont="1" applyBorder="1" applyAlignment="1">
      <alignment horizontal="center" vertical="center" wrapText="1"/>
    </xf>
    <xf numFmtId="0" fontId="39" fillId="0" borderId="113" xfId="0" applyFont="1" applyBorder="1"/>
    <xf numFmtId="0" fontId="39" fillId="0" borderId="64" xfId="0" applyFont="1" applyBorder="1"/>
    <xf numFmtId="0" fontId="6" fillId="0" borderId="116" xfId="0" applyFont="1" applyBorder="1" applyAlignment="1">
      <alignment horizontal="center" vertical="center" wrapText="1"/>
    </xf>
    <xf numFmtId="0" fontId="39" fillId="0" borderId="104" xfId="0" applyFont="1" applyBorder="1"/>
    <xf numFmtId="0" fontId="39" fillId="0" borderId="94" xfId="0" applyFont="1" applyBorder="1"/>
    <xf numFmtId="49" fontId="6" fillId="0" borderId="81" xfId="0" applyNumberFormat="1" applyFont="1" applyBorder="1" applyAlignment="1">
      <alignment horizontal="center" vertical="center" wrapText="1"/>
    </xf>
    <xf numFmtId="9" fontId="6" fillId="0" borderId="81" xfId="0" applyNumberFormat="1" applyFont="1" applyBorder="1" applyAlignment="1">
      <alignment horizontal="center" vertical="center"/>
    </xf>
    <xf numFmtId="0" fontId="48" fillId="0" borderId="81" xfId="0" applyFont="1" applyBorder="1" applyAlignment="1">
      <alignment horizontal="center" vertical="center"/>
    </xf>
    <xf numFmtId="0" fontId="6" fillId="0" borderId="81" xfId="0" applyFont="1" applyBorder="1" applyAlignment="1">
      <alignment horizontal="center" vertical="center" wrapText="1"/>
    </xf>
    <xf numFmtId="0" fontId="44" fillId="0" borderId="132" xfId="0" applyFont="1" applyBorder="1" applyAlignment="1">
      <alignment horizontal="center" vertical="center" wrapText="1"/>
    </xf>
    <xf numFmtId="0" fontId="39" fillId="0" borderId="80" xfId="0" applyFont="1" applyBorder="1"/>
    <xf numFmtId="0" fontId="39" fillId="0" borderId="142" xfId="0" applyFont="1" applyBorder="1"/>
    <xf numFmtId="0" fontId="6" fillId="0" borderId="52" xfId="0" applyFont="1" applyBorder="1" applyAlignment="1">
      <alignment horizontal="center" vertical="center" wrapText="1"/>
    </xf>
    <xf numFmtId="10" fontId="6" fillId="3" borderId="67" xfId="0" applyNumberFormat="1" applyFont="1" applyFill="1" applyBorder="1" applyAlignment="1">
      <alignment horizontal="center" vertical="center" wrapText="1"/>
    </xf>
    <xf numFmtId="0" fontId="6" fillId="0" borderId="97" xfId="0" applyFont="1" applyBorder="1" applyAlignment="1">
      <alignment horizontal="center" vertical="center" wrapText="1"/>
    </xf>
    <xf numFmtId="0" fontId="39" fillId="0" borderId="103" xfId="0" applyFont="1" applyBorder="1"/>
    <xf numFmtId="10" fontId="6" fillId="3" borderId="52" xfId="0" applyNumberFormat="1" applyFont="1" applyFill="1" applyBorder="1" applyAlignment="1">
      <alignment horizontal="center" vertical="center" wrapText="1"/>
    </xf>
    <xf numFmtId="0" fontId="6" fillId="0" borderId="80" xfId="0" applyFont="1" applyBorder="1" applyAlignment="1">
      <alignment horizontal="center" vertical="center" wrapText="1"/>
    </xf>
    <xf numFmtId="0" fontId="6" fillId="0" borderId="81" xfId="0" applyFont="1" applyBorder="1" applyAlignment="1">
      <alignment horizontal="left" vertical="center" wrapText="1"/>
    </xf>
    <xf numFmtId="0" fontId="39" fillId="0" borderId="75" xfId="0" applyFont="1" applyBorder="1" applyAlignment="1">
      <alignment horizontal="left"/>
    </xf>
    <xf numFmtId="0" fontId="39" fillId="0" borderId="98" xfId="0" applyFont="1" applyBorder="1" applyAlignment="1">
      <alignment horizontal="left"/>
    </xf>
    <xf numFmtId="0" fontId="6" fillId="0" borderId="67" xfId="0" applyFont="1" applyBorder="1" applyAlignment="1">
      <alignment horizontal="left" vertical="center" wrapText="1"/>
    </xf>
    <xf numFmtId="0" fontId="6" fillId="0" borderId="117" xfId="0" applyFont="1" applyBorder="1" applyAlignment="1">
      <alignment horizontal="left" vertical="center" wrapText="1"/>
    </xf>
    <xf numFmtId="0" fontId="39" fillId="0" borderId="81" xfId="0" applyFont="1" applyBorder="1" applyAlignment="1">
      <alignment horizontal="left"/>
    </xf>
    <xf numFmtId="0" fontId="39" fillId="0" borderId="100" xfId="0" applyFont="1" applyBorder="1"/>
    <xf numFmtId="0" fontId="9" fillId="4" borderId="32" xfId="0" applyFont="1" applyFill="1" applyBorder="1" applyAlignment="1">
      <alignment horizontal="center" vertical="center" wrapText="1"/>
    </xf>
    <xf numFmtId="0" fontId="10" fillId="0" borderId="34" xfId="0" applyFont="1" applyBorder="1"/>
    <xf numFmtId="0" fontId="9" fillId="4" borderId="40" xfId="0" applyFont="1" applyFill="1" applyBorder="1" applyAlignment="1">
      <alignment horizontal="center" vertical="center" wrapText="1"/>
    </xf>
    <xf numFmtId="0" fontId="10" fillId="0" borderId="114" xfId="0" applyFont="1" applyBorder="1"/>
    <xf numFmtId="0" fontId="9" fillId="6" borderId="44" xfId="0" applyFont="1" applyFill="1" applyBorder="1" applyAlignment="1">
      <alignment horizontal="center" vertical="center" wrapText="1"/>
    </xf>
    <xf numFmtId="0" fontId="10" fillId="0" borderId="113" xfId="0" applyFont="1" applyBorder="1"/>
    <xf numFmtId="0" fontId="9" fillId="6" borderId="40" xfId="0" applyFont="1" applyFill="1" applyBorder="1" applyAlignment="1">
      <alignment horizontal="center" vertical="center" wrapText="1"/>
    </xf>
    <xf numFmtId="0" fontId="9" fillId="0" borderId="52" xfId="0" applyFont="1" applyBorder="1" applyAlignment="1">
      <alignment horizontal="center" vertical="center" wrapText="1"/>
    </xf>
    <xf numFmtId="0" fontId="10" fillId="0" borderId="75" xfId="0" applyFont="1" applyBorder="1"/>
    <xf numFmtId="0" fontId="10" fillId="0" borderId="98" xfId="0" applyFont="1" applyBorder="1"/>
    <xf numFmtId="0" fontId="10" fillId="0" borderId="62" xfId="0" applyFont="1" applyBorder="1"/>
    <xf numFmtId="0" fontId="9" fillId="0" borderId="53" xfId="0" applyFont="1" applyBorder="1" applyAlignment="1">
      <alignment horizontal="center"/>
    </xf>
    <xf numFmtId="0" fontId="10" fillId="0" borderId="79" xfId="0" applyFont="1" applyBorder="1"/>
    <xf numFmtId="0" fontId="10" fillId="0" borderId="101" xfId="0" applyFont="1" applyBorder="1"/>
    <xf numFmtId="164" fontId="6" fillId="0" borderId="67" xfId="0" applyNumberFormat="1" applyFont="1" applyBorder="1" applyAlignment="1">
      <alignment horizontal="center" vertical="center" wrapText="1"/>
    </xf>
    <xf numFmtId="164" fontId="6" fillId="0" borderId="135" xfId="0" applyNumberFormat="1" applyFont="1" applyBorder="1" applyAlignment="1">
      <alignment horizontal="center" vertical="center" wrapText="1"/>
    </xf>
    <xf numFmtId="164" fontId="6" fillId="0" borderId="81" xfId="0" applyNumberFormat="1" applyFont="1" applyBorder="1" applyAlignment="1">
      <alignment horizontal="center" vertical="center" wrapText="1"/>
    </xf>
    <xf numFmtId="164" fontId="42" fillId="0" borderId="84" xfId="0" applyNumberFormat="1" applyFont="1" applyBorder="1" applyAlignment="1">
      <alignment horizontal="center" vertical="center"/>
    </xf>
    <xf numFmtId="0" fontId="39" fillId="0" borderId="79" xfId="0" applyFont="1" applyBorder="1"/>
    <xf numFmtId="164" fontId="6" fillId="0" borderId="52" xfId="0" applyNumberFormat="1" applyFont="1" applyBorder="1" applyAlignment="1">
      <alignment horizontal="center" vertical="center" wrapText="1"/>
    </xf>
    <xf numFmtId="164" fontId="42" fillId="0" borderId="53" xfId="0" applyNumberFormat="1" applyFont="1" applyBorder="1" applyAlignment="1">
      <alignment horizontal="center" vertical="center"/>
    </xf>
    <xf numFmtId="0" fontId="9" fillId="0" borderId="79" xfId="0" applyFont="1" applyBorder="1" applyAlignment="1">
      <alignment horizontal="center"/>
    </xf>
    <xf numFmtId="164" fontId="54" fillId="0" borderId="90" xfId="0" applyNumberFormat="1" applyFont="1" applyBorder="1" applyAlignment="1">
      <alignment horizontal="center" vertical="center" wrapText="1"/>
    </xf>
    <xf numFmtId="0" fontId="53" fillId="0" borderId="79" xfId="0" applyFont="1" applyBorder="1"/>
    <xf numFmtId="0" fontId="53" fillId="0" borderId="84" xfId="0" applyFont="1" applyBorder="1"/>
    <xf numFmtId="0" fontId="52" fillId="0" borderId="135" xfId="0" applyFont="1" applyBorder="1" applyAlignment="1">
      <alignment horizontal="center" vertical="center" wrapText="1"/>
    </xf>
    <xf numFmtId="0" fontId="53" fillId="0" borderId="81" xfId="0" applyFont="1" applyBorder="1"/>
    <xf numFmtId="0" fontId="53" fillId="0" borderId="145" xfId="0" applyFont="1" applyBorder="1"/>
    <xf numFmtId="164" fontId="52" fillId="0" borderId="135" xfId="0" applyNumberFormat="1" applyFont="1" applyBorder="1" applyAlignment="1">
      <alignment horizontal="center" vertical="center" wrapText="1"/>
    </xf>
    <xf numFmtId="0" fontId="51" fillId="0" borderId="53" xfId="0" applyFont="1" applyBorder="1" applyAlignment="1">
      <alignment horizontal="center" vertical="center" wrapText="1"/>
    </xf>
    <xf numFmtId="0" fontId="53" fillId="0" borderId="63" xfId="0" applyFont="1" applyBorder="1"/>
    <xf numFmtId="164" fontId="52" fillId="0" borderId="67" xfId="0" applyNumberFormat="1" applyFont="1" applyBorder="1" applyAlignment="1">
      <alignment horizontal="center" vertical="center" wrapText="1"/>
    </xf>
    <xf numFmtId="0" fontId="53" fillId="0" borderId="75" xfId="0" applyFont="1" applyBorder="1"/>
    <xf numFmtId="0" fontId="53" fillId="0" borderId="62" xfId="0" applyFont="1" applyBorder="1"/>
    <xf numFmtId="0" fontId="52" fillId="0" borderId="67" xfId="0" applyFont="1" applyBorder="1" applyAlignment="1">
      <alignment horizontal="center" vertical="center" wrapText="1"/>
    </xf>
    <xf numFmtId="0" fontId="53" fillId="0" borderId="98" xfId="0" applyFont="1" applyBorder="1"/>
    <xf numFmtId="164" fontId="54" fillId="0" borderId="137" xfId="0" applyNumberFormat="1" applyFont="1" applyBorder="1" applyAlignment="1">
      <alignment horizontal="center" vertical="center" wrapText="1"/>
    </xf>
    <xf numFmtId="0" fontId="53" fillId="0" borderId="139" xfId="0" applyFont="1" applyBorder="1"/>
    <xf numFmtId="0" fontId="53" fillId="0" borderId="147" xfId="0" applyFont="1" applyBorder="1"/>
    <xf numFmtId="0" fontId="52" fillId="0" borderId="75" xfId="0" applyFont="1" applyBorder="1" applyAlignment="1">
      <alignment horizontal="center" vertical="center" wrapText="1"/>
    </xf>
    <xf numFmtId="0" fontId="17" fillId="4" borderId="32" xfId="0" applyFont="1" applyFill="1" applyBorder="1" applyAlignment="1">
      <alignment horizontal="center" vertical="center"/>
    </xf>
    <xf numFmtId="0" fontId="10" fillId="0" borderId="33" xfId="0" applyFont="1" applyBorder="1"/>
    <xf numFmtId="0" fontId="46" fillId="0" borderId="0" xfId="0" applyFont="1" applyAlignment="1">
      <alignment horizontal="left" vertical="top" wrapText="1"/>
    </xf>
    <xf numFmtId="0" fontId="40" fillId="0" borderId="0" xfId="0" applyFont="1"/>
    <xf numFmtId="0" fontId="42" fillId="3" borderId="35" xfId="0" applyFont="1" applyFill="1" applyBorder="1" applyAlignment="1">
      <alignment horizontal="right" vertical="center" wrapText="1"/>
    </xf>
    <xf numFmtId="0" fontId="39" fillId="0" borderId="6" xfId="0" applyFont="1" applyBorder="1"/>
    <xf numFmtId="0" fontId="39" fillId="0" borderId="36" xfId="0" applyFont="1" applyBorder="1"/>
    <xf numFmtId="0" fontId="1" fillId="0" borderId="0" xfId="0" applyFont="1" applyAlignment="1">
      <alignment horizontal="left" vertical="center" wrapText="1"/>
    </xf>
    <xf numFmtId="0" fontId="38" fillId="0" borderId="0" xfId="0" applyFont="1"/>
    <xf numFmtId="0" fontId="15" fillId="0" borderId="106" xfId="0" applyFont="1" applyBorder="1" applyAlignment="1">
      <alignment horizontal="center" vertical="center"/>
    </xf>
    <xf numFmtId="0" fontId="10" fillId="0" borderId="87" xfId="0" applyFont="1" applyBorder="1"/>
    <xf numFmtId="0" fontId="10" fillId="0" borderId="107" xfId="0" applyFont="1" applyBorder="1"/>
    <xf numFmtId="0" fontId="9" fillId="6" borderId="106" xfId="0" applyFont="1" applyFill="1" applyBorder="1" applyAlignment="1">
      <alignment horizontal="center" vertical="center" wrapText="1"/>
    </xf>
    <xf numFmtId="0" fontId="10" fillId="0" borderId="108" xfId="0" applyFont="1" applyBorder="1"/>
    <xf numFmtId="0" fontId="10" fillId="0" borderId="109" xfId="0" applyFont="1" applyBorder="1"/>
    <xf numFmtId="0" fontId="10" fillId="0" borderId="110" xfId="0" applyFont="1" applyBorder="1"/>
    <xf numFmtId="0" fontId="10" fillId="0" borderId="111" xfId="0" applyFont="1" applyBorder="1"/>
    <xf numFmtId="0" fontId="9" fillId="6" borderId="156" xfId="0" applyFont="1" applyFill="1" applyBorder="1" applyAlignment="1">
      <alignment horizontal="center" vertical="center" wrapText="1"/>
    </xf>
    <xf numFmtId="0" fontId="10" fillId="0" borderId="170" xfId="0" applyFont="1" applyBorder="1"/>
    <xf numFmtId="0" fontId="10" fillId="0" borderId="155" xfId="0" applyFont="1" applyBorder="1"/>
    <xf numFmtId="0" fontId="10" fillId="0" borderId="171" xfId="0" applyFont="1" applyBorder="1"/>
    <xf numFmtId="0" fontId="9" fillId="4" borderId="49" xfId="0" applyFont="1" applyFill="1" applyBorder="1" applyAlignment="1">
      <alignment horizontal="center" vertical="center" wrapText="1"/>
    </xf>
    <xf numFmtId="0" fontId="10" fillId="0" borderId="116" xfId="0" applyFont="1" applyBorder="1"/>
    <xf numFmtId="0" fontId="41" fillId="0" borderId="116" xfId="0" applyFont="1" applyBorder="1" applyAlignment="1">
      <alignment horizontal="center" vertical="center"/>
    </xf>
    <xf numFmtId="0" fontId="39" fillId="0" borderId="111" xfId="0" applyFont="1" applyBorder="1"/>
    <xf numFmtId="0" fontId="39" fillId="0" borderId="93" xfId="0" applyFont="1" applyBorder="1"/>
    <xf numFmtId="0" fontId="6" fillId="0" borderId="128" xfId="0" applyFont="1" applyBorder="1" applyAlignment="1">
      <alignment horizontal="center" vertical="center" wrapText="1"/>
    </xf>
    <xf numFmtId="0" fontId="6" fillId="3" borderId="81" xfId="0" applyFont="1" applyFill="1" applyBorder="1" applyAlignment="1">
      <alignment horizontal="center" vertical="center" wrapText="1"/>
    </xf>
    <xf numFmtId="0" fontId="6" fillId="0" borderId="81" xfId="0" applyFont="1" applyBorder="1" applyAlignment="1">
      <alignment horizontal="center" vertical="center"/>
    </xf>
    <xf numFmtId="0" fontId="41" fillId="0" borderId="106" xfId="0" applyFont="1" applyBorder="1" applyAlignment="1">
      <alignment horizontal="center" vertical="center"/>
    </xf>
    <xf numFmtId="0" fontId="39" fillId="0" borderId="87" xfId="0" applyFont="1" applyBorder="1"/>
    <xf numFmtId="0" fontId="44" fillId="0" borderId="67" xfId="0" applyFont="1" applyBorder="1" applyAlignment="1">
      <alignment horizontal="center" vertical="center" wrapText="1"/>
    </xf>
    <xf numFmtId="164" fontId="42" fillId="0" borderId="90" xfId="0" applyNumberFormat="1" applyFont="1" applyBorder="1" applyAlignment="1">
      <alignment horizontal="center" vertical="center"/>
    </xf>
    <xf numFmtId="0" fontId="62" fillId="0" borderId="164" xfId="0" applyFont="1" applyBorder="1" applyAlignment="1">
      <alignment horizontal="center" vertical="center" wrapText="1" readingOrder="1"/>
    </xf>
    <xf numFmtId="0" fontId="39" fillId="0" borderId="114" xfId="0" applyFont="1" applyBorder="1"/>
    <xf numFmtId="0" fontId="39" fillId="0" borderId="167" xfId="0" applyFont="1" applyBorder="1"/>
    <xf numFmtId="164" fontId="42" fillId="0" borderId="137" xfId="0" applyNumberFormat="1" applyFont="1" applyBorder="1" applyAlignment="1">
      <alignment horizontal="center" vertical="center"/>
    </xf>
    <xf numFmtId="0" fontId="39" fillId="0" borderId="139" xfId="0" applyFont="1" applyBorder="1"/>
    <xf numFmtId="0" fontId="39" fillId="0" borderId="147" xfId="0" applyFont="1" applyBorder="1"/>
    <xf numFmtId="0" fontId="6" fillId="0" borderId="106" xfId="0" applyFont="1" applyBorder="1" applyAlignment="1">
      <alignment horizontal="center" vertical="center" wrapText="1"/>
    </xf>
    <xf numFmtId="0" fontId="39" fillId="0" borderId="107" xfId="0" applyFont="1" applyBorder="1"/>
    <xf numFmtId="0" fontId="39" fillId="0" borderId="47" xfId="0" applyFont="1" applyBorder="1"/>
    <xf numFmtId="0" fontId="41" fillId="0" borderId="156" xfId="0" applyFont="1" applyBorder="1" applyAlignment="1">
      <alignment horizontal="center" vertical="center"/>
    </xf>
    <xf numFmtId="0" fontId="39" fillId="0" borderId="159" xfId="0" applyFont="1" applyBorder="1"/>
    <xf numFmtId="0" fontId="39" fillId="0" borderId="154" xfId="0" applyFont="1" applyBorder="1"/>
    <xf numFmtId="0" fontId="40" fillId="0" borderId="111" xfId="0" applyFont="1" applyBorder="1"/>
    <xf numFmtId="0" fontId="39" fillId="0" borderId="155" xfId="0" applyFont="1" applyBorder="1"/>
    <xf numFmtId="0" fontId="39" fillId="0" borderId="162" xfId="0" applyFont="1" applyBorder="1"/>
    <xf numFmtId="0" fontId="45" fillId="0" borderId="133" xfId="0" applyFont="1" applyBorder="1" applyAlignment="1">
      <alignment horizontal="center" vertical="center" wrapText="1"/>
    </xf>
    <xf numFmtId="0" fontId="40" fillId="0" borderId="159" xfId="0" applyFont="1" applyBorder="1"/>
    <xf numFmtId="0" fontId="6" fillId="3" borderId="164" xfId="0" applyFont="1" applyFill="1" applyBorder="1" applyAlignment="1">
      <alignment horizontal="center" vertical="center" wrapText="1"/>
    </xf>
    <xf numFmtId="9" fontId="6" fillId="0" borderId="164" xfId="0" applyNumberFormat="1" applyFont="1" applyBorder="1" applyAlignment="1">
      <alignment horizontal="center" vertical="center"/>
    </xf>
    <xf numFmtId="0" fontId="6" fillId="0" borderId="134" xfId="0" applyFont="1" applyBorder="1" applyAlignment="1">
      <alignment horizontal="center" vertical="center"/>
    </xf>
    <xf numFmtId="0" fontId="6" fillId="0" borderId="135" xfId="0" applyFont="1" applyBorder="1" applyAlignment="1">
      <alignment horizontal="center" vertical="top" wrapText="1"/>
    </xf>
    <xf numFmtId="0" fontId="6" fillId="0" borderId="91" xfId="0" applyFont="1" applyBorder="1" applyAlignment="1">
      <alignment horizontal="center" vertical="center" wrapText="1"/>
    </xf>
    <xf numFmtId="0" fontId="6" fillId="3" borderId="117" xfId="0" applyFont="1" applyFill="1" applyBorder="1" applyAlignment="1">
      <alignment horizontal="center" vertical="center" wrapText="1"/>
    </xf>
    <xf numFmtId="9" fontId="6" fillId="0" borderId="117" xfId="0" applyNumberFormat="1" applyFont="1" applyBorder="1" applyAlignment="1">
      <alignment horizontal="center" vertical="center"/>
    </xf>
    <xf numFmtId="0" fontId="6" fillId="0" borderId="117" xfId="0" applyFont="1" applyBorder="1" applyAlignment="1">
      <alignment horizontal="center" vertical="center"/>
    </xf>
    <xf numFmtId="0" fontId="6" fillId="0" borderId="117" xfId="0" applyFont="1" applyBorder="1" applyAlignment="1">
      <alignment horizontal="center" vertical="center" wrapText="1"/>
    </xf>
    <xf numFmtId="9" fontId="11" fillId="0" borderId="67" xfId="0" applyNumberFormat="1" applyFont="1" applyBorder="1" applyAlignment="1">
      <alignment horizontal="center" vertical="top"/>
    </xf>
    <xf numFmtId="0" fontId="11" fillId="0" borderId="67" xfId="0" applyFont="1" applyBorder="1" applyAlignment="1">
      <alignment horizontal="center" vertical="top"/>
    </xf>
    <xf numFmtId="0" fontId="11" fillId="0" borderId="67" xfId="0" applyFont="1" applyBorder="1" applyAlignment="1">
      <alignment horizontal="center" vertical="top" wrapText="1"/>
    </xf>
    <xf numFmtId="9" fontId="44" fillId="0" borderId="67" xfId="0" applyNumberFormat="1" applyFont="1" applyBorder="1" applyAlignment="1">
      <alignment horizontal="center" vertical="center" wrapText="1"/>
    </xf>
    <xf numFmtId="9" fontId="3" fillId="0" borderId="67" xfId="0" applyNumberFormat="1" applyFont="1" applyBorder="1" applyAlignment="1">
      <alignment horizontal="center" vertical="top"/>
    </xf>
    <xf numFmtId="0" fontId="3" fillId="0" borderId="67" xfId="0" applyFont="1" applyBorder="1" applyAlignment="1">
      <alignment horizontal="center" vertical="top" wrapText="1"/>
    </xf>
    <xf numFmtId="9" fontId="11" fillId="0" borderId="52" xfId="0" applyNumberFormat="1" applyFont="1" applyBorder="1" applyAlignment="1">
      <alignment horizontal="center" vertical="top"/>
    </xf>
    <xf numFmtId="0" fontId="11" fillId="0" borderId="52" xfId="0" applyFont="1" applyBorder="1" applyAlignment="1">
      <alignment horizontal="center" vertical="top"/>
    </xf>
    <xf numFmtId="0" fontId="11" fillId="0" borderId="52" xfId="0" applyFont="1" applyBorder="1" applyAlignment="1">
      <alignment horizontal="center" vertical="top" wrapText="1"/>
    </xf>
    <xf numFmtId="0" fontId="16" fillId="0" borderId="97" xfId="0" applyFont="1" applyBorder="1" applyAlignment="1">
      <alignment horizontal="center" vertical="center" wrapText="1"/>
    </xf>
    <xf numFmtId="0" fontId="10" fillId="0" borderId="103" xfId="0" applyFont="1" applyBorder="1"/>
    <xf numFmtId="0" fontId="10" fillId="0" borderId="91" xfId="0" applyFont="1" applyBorder="1"/>
    <xf numFmtId="0" fontId="10" fillId="0" borderId="74" xfId="0" applyFont="1" applyBorder="1"/>
    <xf numFmtId="0" fontId="10" fillId="0" borderId="99" xfId="0" applyFont="1" applyBorder="1"/>
    <xf numFmtId="0" fontId="10" fillId="0" borderId="102" xfId="0" applyFont="1" applyBorder="1"/>
    <xf numFmtId="0" fontId="44" fillId="0" borderId="86" xfId="0" applyFont="1" applyBorder="1" applyAlignment="1">
      <alignment horizontal="center" vertical="center" wrapText="1"/>
    </xf>
    <xf numFmtId="0" fontId="11" fillId="0" borderId="104" xfId="0" applyFont="1" applyBorder="1" applyAlignment="1">
      <alignment horizontal="center" vertical="center" wrapText="1"/>
    </xf>
    <xf numFmtId="0" fontId="13" fillId="0" borderId="0" xfId="0" applyFont="1"/>
    <xf numFmtId="0" fontId="10" fillId="0" borderId="104" xfId="0" applyFont="1" applyBorder="1"/>
    <xf numFmtId="0" fontId="10" fillId="0" borderId="105" xfId="0" applyFont="1" applyBorder="1"/>
    <xf numFmtId="0" fontId="10" fillId="0" borderId="93" xfId="0" applyFont="1" applyBorder="1"/>
    <xf numFmtId="0" fontId="10" fillId="0" borderId="94" xfId="0" applyFont="1" applyBorder="1"/>
    <xf numFmtId="0" fontId="16" fillId="0" borderId="86" xfId="0" applyFont="1" applyBorder="1" applyAlignment="1">
      <alignment horizontal="center" vertical="center" wrapText="1"/>
    </xf>
    <xf numFmtId="0" fontId="10" fillId="0" borderId="88" xfId="0" applyFont="1" applyBorder="1"/>
    <xf numFmtId="0" fontId="11" fillId="3" borderId="67" xfId="0" applyFont="1" applyFill="1" applyBorder="1" applyAlignment="1">
      <alignment horizontal="center" vertical="top" wrapText="1"/>
    </xf>
    <xf numFmtId="0" fontId="11" fillId="3" borderId="52" xfId="0" applyFont="1" applyFill="1" applyBorder="1" applyAlignment="1">
      <alignment horizontal="center" vertical="top" wrapText="1"/>
    </xf>
    <xf numFmtId="0" fontId="11" fillId="0" borderId="106" xfId="0" applyFont="1" applyBorder="1" applyAlignment="1">
      <alignment horizontal="center" vertical="center"/>
    </xf>
    <xf numFmtId="0" fontId="10" fillId="0" borderId="100" xfId="0" applyFont="1" applyBorder="1"/>
    <xf numFmtId="0" fontId="11" fillId="0" borderId="53" xfId="0" applyFont="1" applyBorder="1" applyAlignment="1">
      <alignment horizontal="center"/>
    </xf>
    <xf numFmtId="0" fontId="9" fillId="4" borderId="40" xfId="0" applyFont="1" applyFill="1" applyBorder="1" applyAlignment="1">
      <alignment vertical="center" wrapText="1"/>
    </xf>
    <xf numFmtId="0" fontId="39" fillId="0" borderId="62" xfId="0" applyFont="1" applyBorder="1" applyAlignment="1">
      <alignment horizontal="left"/>
    </xf>
    <xf numFmtId="0" fontId="6" fillId="0" borderId="67" xfId="0" applyFont="1" applyBorder="1" applyAlignment="1">
      <alignment horizontal="center"/>
    </xf>
    <xf numFmtId="0" fontId="39" fillId="0" borderId="63" xfId="0" applyFont="1" applyBorder="1"/>
    <xf numFmtId="0" fontId="9" fillId="0" borderId="75" xfId="0" applyFont="1" applyBorder="1" applyAlignment="1">
      <alignment horizontal="center" vertical="center" wrapText="1"/>
    </xf>
    <xf numFmtId="0" fontId="11" fillId="0" borderId="79" xfId="0" applyFont="1" applyBorder="1" applyAlignment="1">
      <alignment horizontal="center"/>
    </xf>
    <xf numFmtId="0" fontId="42" fillId="3" borderId="32" xfId="0" applyFont="1" applyFill="1" applyBorder="1" applyAlignment="1">
      <alignment horizontal="right" vertical="center" wrapText="1"/>
    </xf>
    <xf numFmtId="0" fontId="39" fillId="0" borderId="33" xfId="0" applyFont="1" applyBorder="1"/>
    <xf numFmtId="0" fontId="39" fillId="0" borderId="120" xfId="0" applyFont="1" applyBorder="1"/>
    <xf numFmtId="0" fontId="60" fillId="0" borderId="0" xfId="0" applyFont="1" applyAlignment="1">
      <alignment horizontal="left" vertical="center" wrapText="1"/>
    </xf>
    <xf numFmtId="0" fontId="17" fillId="4" borderId="35" xfId="0" applyFont="1" applyFill="1" applyBorder="1" applyAlignment="1">
      <alignment horizontal="center" vertical="center"/>
    </xf>
    <xf numFmtId="0" fontId="10" fillId="0" borderId="6" xfId="0" applyFont="1" applyBorder="1"/>
    <xf numFmtId="0" fontId="10" fillId="0" borderId="36" xfId="0" applyFont="1" applyBorder="1"/>
    <xf numFmtId="0" fontId="9" fillId="6" borderId="43" xfId="0" applyFont="1" applyFill="1" applyBorder="1" applyAlignment="1">
      <alignment horizontal="center" vertical="center" wrapText="1"/>
    </xf>
    <xf numFmtId="0" fontId="9" fillId="4" borderId="44" xfId="0" applyFont="1" applyFill="1" applyBorder="1" applyAlignment="1">
      <alignment horizontal="center" vertical="center" wrapText="1"/>
    </xf>
    <xf numFmtId="0" fontId="59" fillId="0" borderId="32" xfId="0" applyFont="1" applyBorder="1" applyAlignment="1">
      <alignment horizontal="center" vertical="center"/>
    </xf>
    <xf numFmtId="0" fontId="36" fillId="0" borderId="33" xfId="0" applyFont="1" applyBorder="1"/>
    <xf numFmtId="0" fontId="36" fillId="0" borderId="34" xfId="0" applyFont="1" applyBorder="1"/>
    <xf numFmtId="0" fontId="15" fillId="0" borderId="32" xfId="0" applyFont="1" applyBorder="1" applyAlignment="1">
      <alignment horizontal="center" vertical="center"/>
    </xf>
    <xf numFmtId="0" fontId="10" fillId="0" borderId="112" xfId="0" applyFont="1" applyBorder="1"/>
    <xf numFmtId="0" fontId="9" fillId="4" borderId="39" xfId="0" applyFont="1" applyFill="1" applyBorder="1" applyAlignment="1">
      <alignment horizontal="center" vertical="center" wrapText="1"/>
    </xf>
    <xf numFmtId="0" fontId="11" fillId="3" borderId="68" xfId="0" applyFont="1" applyFill="1" applyBorder="1" applyAlignment="1">
      <alignment horizontal="center" vertical="top" wrapText="1"/>
    </xf>
    <xf numFmtId="9" fontId="11" fillId="0" borderId="75" xfId="0" applyNumberFormat="1" applyFont="1" applyBorder="1" applyAlignment="1">
      <alignment horizontal="center" vertical="top"/>
    </xf>
    <xf numFmtId="9" fontId="3" fillId="0" borderId="75" xfId="0" applyNumberFormat="1" applyFont="1" applyBorder="1" applyAlignment="1">
      <alignment horizontal="center" vertical="top"/>
    </xf>
    <xf numFmtId="0" fontId="3" fillId="0" borderId="75" xfId="0" applyFont="1" applyBorder="1" applyAlignment="1">
      <alignment horizontal="center" vertical="top" wrapText="1"/>
    </xf>
    <xf numFmtId="0" fontId="37" fillId="0" borderId="86" xfId="0" applyFont="1" applyBorder="1" applyAlignment="1">
      <alignment horizontal="left" vertical="top" wrapText="1"/>
    </xf>
    <xf numFmtId="0" fontId="36" fillId="0" borderId="87" xfId="0" applyFont="1" applyBorder="1"/>
    <xf numFmtId="0" fontId="36" fillId="0" borderId="88" xfId="0" applyFont="1" applyBorder="1"/>
    <xf numFmtId="0" fontId="36" fillId="0" borderId="91" xfId="0" applyFont="1" applyBorder="1"/>
    <xf numFmtId="0" fontId="36" fillId="0" borderId="74" xfId="0" applyFont="1" applyBorder="1"/>
    <xf numFmtId="0" fontId="36" fillId="0" borderId="100" xfId="0" applyFont="1" applyBorder="1"/>
    <xf numFmtId="0" fontId="36" fillId="0" borderId="93" xfId="0" applyFont="1" applyBorder="1"/>
    <xf numFmtId="0" fontId="36" fillId="0" borderId="94" xfId="0" applyFont="1" applyBorder="1"/>
    <xf numFmtId="0" fontId="2" fillId="0" borderId="67" xfId="0" applyFont="1" applyBorder="1" applyAlignment="1">
      <alignment horizontal="center" vertical="top" wrapText="1"/>
    </xf>
    <xf numFmtId="0" fontId="23" fillId="0" borderId="75" xfId="0" applyFont="1" applyBorder="1"/>
    <xf numFmtId="0" fontId="23" fillId="0" borderId="62" xfId="0" applyFont="1" applyBorder="1"/>
    <xf numFmtId="9" fontId="6" fillId="0" borderId="67" xfId="0" applyNumberFormat="1" applyFont="1" applyBorder="1" applyAlignment="1">
      <alignment horizontal="center" vertical="top"/>
    </xf>
    <xf numFmtId="0" fontId="16" fillId="0" borderId="91" xfId="0" applyFont="1" applyBorder="1" applyAlignment="1">
      <alignment horizontal="center" vertical="center" wrapText="1"/>
    </xf>
    <xf numFmtId="9" fontId="42" fillId="3" borderId="97" xfId="0" applyNumberFormat="1" applyFont="1" applyFill="1" applyBorder="1" applyAlignment="1">
      <alignment horizontal="center" vertical="top" wrapText="1"/>
    </xf>
    <xf numFmtId="0" fontId="39" fillId="0" borderId="125" xfId="0" applyFont="1" applyBorder="1"/>
    <xf numFmtId="0" fontId="39" fillId="0" borderId="123" xfId="0" applyFont="1" applyBorder="1"/>
    <xf numFmtId="0" fontId="6" fillId="3" borderId="17" xfId="0" applyFont="1" applyFill="1" applyBorder="1" applyAlignment="1">
      <alignment horizontal="center" vertical="top"/>
    </xf>
    <xf numFmtId="0" fontId="39" fillId="0" borderId="15" xfId="0" applyFont="1" applyBorder="1"/>
    <xf numFmtId="0" fontId="39" fillId="0" borderId="16" xfId="0" applyFont="1" applyBorder="1"/>
    <xf numFmtId="0" fontId="10" fillId="0" borderId="122" xfId="0" applyFont="1" applyBorder="1"/>
    <xf numFmtId="0" fontId="10" fillId="0" borderId="123" xfId="0" applyFont="1" applyBorder="1"/>
    <xf numFmtId="0" fontId="39" fillId="0" borderId="34" xfId="0" applyFont="1" applyBorder="1"/>
    <xf numFmtId="0" fontId="6" fillId="0" borderId="106" xfId="0" applyFont="1" applyBorder="1" applyAlignment="1">
      <alignment horizontal="center" vertical="center"/>
    </xf>
    <xf numFmtId="0" fontId="42" fillId="3" borderId="97" xfId="0" applyFont="1" applyFill="1" applyBorder="1" applyAlignment="1">
      <alignment horizontal="center" wrapText="1"/>
    </xf>
    <xf numFmtId="0" fontId="58" fillId="0" borderId="125" xfId="0" applyFont="1" applyBorder="1"/>
    <xf numFmtId="0" fontId="58" fillId="0" borderId="103" xfId="0" applyFont="1" applyBorder="1"/>
    <xf numFmtId="0" fontId="58" fillId="0" borderId="99" xfId="0" applyFont="1" applyBorder="1"/>
    <xf numFmtId="0" fontId="58" fillId="0" borderId="123" xfId="0" applyFont="1" applyBorder="1"/>
    <xf numFmtId="0" fontId="58" fillId="0" borderId="102" xfId="0" applyFont="1" applyBorder="1"/>
    <xf numFmtId="0" fontId="6" fillId="3" borderId="17" xfId="0" applyFont="1" applyFill="1" applyBorder="1" applyAlignment="1">
      <alignment horizontal="center" vertical="top" wrapText="1"/>
    </xf>
    <xf numFmtId="0" fontId="6" fillId="0" borderId="52" xfId="0" applyFont="1" applyBorder="1" applyAlignment="1">
      <alignment horizontal="left" vertical="center" wrapText="1"/>
    </xf>
    <xf numFmtId="0" fontId="6" fillId="0" borderId="91" xfId="0" applyFont="1" applyBorder="1" applyAlignment="1">
      <alignment vertical="center" wrapText="1"/>
    </xf>
    <xf numFmtId="0" fontId="6" fillId="0" borderId="97" xfId="0" applyFont="1" applyBorder="1" applyAlignment="1">
      <alignment vertical="center" wrapText="1"/>
    </xf>
    <xf numFmtId="0" fontId="6" fillId="0" borderId="159" xfId="0" applyFont="1" applyBorder="1" applyAlignment="1">
      <alignment horizontal="center" vertical="center" wrapText="1"/>
    </xf>
    <xf numFmtId="0" fontId="6" fillId="0" borderId="134" xfId="0" applyFont="1" applyBorder="1" applyAlignment="1">
      <alignment horizontal="center" vertical="center" wrapText="1"/>
    </xf>
    <xf numFmtId="9" fontId="6" fillId="3" borderId="135" xfId="0" applyNumberFormat="1" applyFont="1" applyFill="1" applyBorder="1" applyAlignment="1">
      <alignment horizontal="center" vertical="center" wrapText="1"/>
    </xf>
    <xf numFmtId="0" fontId="6" fillId="0" borderId="87" xfId="0" applyFont="1" applyBorder="1" applyAlignment="1">
      <alignment horizontal="center" vertical="center" wrapText="1"/>
    </xf>
    <xf numFmtId="9" fontId="6" fillId="3" borderId="67" xfId="0" applyNumberFormat="1" applyFont="1" applyFill="1" applyBorder="1" applyAlignment="1">
      <alignment horizontal="center" vertical="center" wrapText="1"/>
    </xf>
    <xf numFmtId="0" fontId="45" fillId="0" borderId="67" xfId="0" applyFont="1" applyBorder="1" applyAlignment="1">
      <alignment horizontal="center" vertical="center" wrapText="1"/>
    </xf>
    <xf numFmtId="9" fontId="6" fillId="3" borderId="68" xfId="0" applyNumberFormat="1" applyFont="1" applyFill="1" applyBorder="1" applyAlignment="1">
      <alignment horizontal="center" vertical="center" wrapText="1"/>
    </xf>
    <xf numFmtId="0" fontId="46" fillId="0" borderId="75" xfId="0" applyFont="1" applyBorder="1" applyAlignment="1">
      <alignment horizontal="center" vertical="center" wrapText="1"/>
    </xf>
    <xf numFmtId="0" fontId="6" fillId="0" borderId="75" xfId="0" applyFont="1" applyBorder="1" applyAlignment="1">
      <alignment horizontal="left" vertical="center" wrapText="1"/>
    </xf>
    <xf numFmtId="0" fontId="6" fillId="0" borderId="75" xfId="0" applyFont="1" applyBorder="1" applyAlignment="1">
      <alignment horizontal="center" vertical="center" wrapText="1"/>
    </xf>
    <xf numFmtId="9" fontId="6" fillId="3" borderId="52" xfId="0" applyNumberFormat="1" applyFont="1" applyFill="1" applyBorder="1" applyAlignment="1">
      <alignment horizontal="center" vertical="center" wrapText="1"/>
    </xf>
    <xf numFmtId="166" fontId="6" fillId="0" borderId="67" xfId="0" applyNumberFormat="1" applyFont="1" applyBorder="1" applyAlignment="1">
      <alignment horizontal="center" vertical="center" wrapText="1"/>
    </xf>
    <xf numFmtId="0" fontId="6" fillId="0" borderId="111" xfId="0" applyFont="1" applyBorder="1" applyAlignment="1">
      <alignment horizontal="center" vertical="center" wrapText="1"/>
    </xf>
    <xf numFmtId="9" fontId="6" fillId="3" borderId="81" xfId="0" applyNumberFormat="1" applyFont="1" applyFill="1" applyBorder="1" applyAlignment="1">
      <alignment horizontal="center" vertical="center" wrapText="1"/>
    </xf>
    <xf numFmtId="0" fontId="41" fillId="0" borderId="152" xfId="0" applyFont="1" applyBorder="1" applyAlignment="1">
      <alignment horizontal="center" vertical="center" wrapText="1"/>
    </xf>
    <xf numFmtId="0" fontId="41" fillId="0" borderId="107" xfId="0" applyFont="1" applyBorder="1" applyAlignment="1">
      <alignment horizontal="center" vertical="center" wrapText="1"/>
    </xf>
    <xf numFmtId="0" fontId="46" fillId="0" borderId="52" xfId="0" applyFont="1" applyBorder="1" applyAlignment="1">
      <alignment horizontal="center" vertical="center" wrapText="1"/>
    </xf>
    <xf numFmtId="0" fontId="41" fillId="0" borderId="154" xfId="0" applyFont="1" applyBorder="1" applyAlignment="1">
      <alignment horizontal="center" vertical="center" wrapText="1"/>
    </xf>
    <xf numFmtId="0" fontId="42" fillId="0" borderId="151" xfId="0" applyFont="1" applyBorder="1" applyAlignment="1">
      <alignment horizontal="center" vertical="center" wrapText="1"/>
    </xf>
    <xf numFmtId="0" fontId="42" fillId="0" borderId="152" xfId="0" applyFont="1" applyBorder="1" applyAlignment="1">
      <alignment horizontal="center" vertical="center" wrapText="1"/>
    </xf>
    <xf numFmtId="0" fontId="42" fillId="0" borderId="153" xfId="0" applyFont="1" applyBorder="1" applyAlignment="1">
      <alignment horizontal="center" vertical="center" wrapText="1"/>
    </xf>
    <xf numFmtId="0" fontId="43" fillId="0" borderId="151" xfId="0" applyFont="1" applyBorder="1" applyAlignment="1">
      <alignment horizontal="center" vertical="center" wrapText="1"/>
    </xf>
    <xf numFmtId="0" fontId="6" fillId="0" borderId="158" xfId="0" applyFont="1" applyBorder="1" applyAlignment="1">
      <alignment horizontal="center" vertical="center" wrapText="1"/>
    </xf>
    <xf numFmtId="0" fontId="39" fillId="0" borderId="161" xfId="0" applyFont="1" applyBorder="1"/>
    <xf numFmtId="0" fontId="15" fillId="0" borderId="33" xfId="0" applyFont="1" applyBorder="1" applyAlignment="1">
      <alignment horizontal="center" vertical="center"/>
    </xf>
    <xf numFmtId="0" fontId="44" fillId="0" borderId="14" xfId="0" applyFont="1" applyBorder="1" applyAlignment="1">
      <alignment vertical="top"/>
    </xf>
    <xf numFmtId="0" fontId="6" fillId="3" borderId="20" xfId="0" applyFont="1" applyFill="1" applyBorder="1" applyAlignment="1">
      <alignment horizontal="left" vertical="top" wrapText="1"/>
    </xf>
    <xf numFmtId="0" fontId="39" fillId="0" borderId="21" xfId="0" applyFont="1" applyBorder="1"/>
    <xf numFmtId="0" fontId="39" fillId="0" borderId="22" xfId="0" applyFont="1" applyBorder="1"/>
    <xf numFmtId="0" fontId="44" fillId="0" borderId="24" xfId="0" applyFont="1" applyBorder="1" applyAlignment="1">
      <alignment vertical="top" wrapText="1"/>
    </xf>
    <xf numFmtId="0" fontId="39" fillId="0" borderId="25" xfId="0" applyFont="1" applyBorder="1"/>
    <xf numFmtId="0" fontId="39" fillId="0" borderId="26" xfId="0" applyFont="1" applyBorder="1"/>
    <xf numFmtId="0" fontId="6" fillId="0" borderId="27" xfId="0" applyFont="1" applyBorder="1" applyAlignment="1">
      <alignment horizontal="left" vertical="top" wrapText="1"/>
    </xf>
    <xf numFmtId="0" fontId="39" fillId="0" borderId="28" xfId="0" applyFont="1" applyBorder="1"/>
    <xf numFmtId="0" fontId="9" fillId="3" borderId="2" xfId="0" applyFont="1" applyFill="1" applyBorder="1" applyAlignment="1">
      <alignment horizontal="center" vertical="center"/>
    </xf>
    <xf numFmtId="0" fontId="10" fillId="0" borderId="3" xfId="0" applyFont="1" applyBorder="1"/>
    <xf numFmtId="0" fontId="10" fillId="0" borderId="4" xfId="0" applyFont="1" applyBorder="1"/>
    <xf numFmtId="0" fontId="60" fillId="3" borderId="2" xfId="0" applyFont="1" applyFill="1" applyBorder="1" applyAlignment="1">
      <alignment horizontal="center" vertical="center" wrapText="1"/>
    </xf>
    <xf numFmtId="0" fontId="39" fillId="0" borderId="3" xfId="0" applyFont="1" applyBorder="1"/>
    <xf numFmtId="0" fontId="39" fillId="0" borderId="4" xfId="0" applyFont="1" applyBorder="1"/>
    <xf numFmtId="0" fontId="14" fillId="3" borderId="5" xfId="0" applyFont="1" applyFill="1" applyBorder="1" applyAlignment="1">
      <alignment horizontal="center" vertical="center" wrapText="1"/>
    </xf>
    <xf numFmtId="0" fontId="10" fillId="0" borderId="7" xfId="0" applyFont="1" applyBorder="1"/>
    <xf numFmtId="0" fontId="44" fillId="0" borderId="8" xfId="0" applyFont="1" applyBorder="1" applyAlignment="1">
      <alignment vertical="top"/>
    </xf>
    <xf numFmtId="0" fontId="39" fillId="0" borderId="9" xfId="0" applyFont="1" applyBorder="1"/>
    <xf numFmtId="0" fontId="39" fillId="0" borderId="10" xfId="0" applyFont="1" applyBorder="1"/>
    <xf numFmtId="0" fontId="42" fillId="3" borderId="11" xfId="0" applyFont="1" applyFill="1" applyBorder="1" applyAlignment="1">
      <alignment horizontal="left" vertical="top" wrapText="1"/>
    </xf>
    <xf numFmtId="0" fontId="58" fillId="0" borderId="9" xfId="0" applyFont="1" applyBorder="1"/>
    <xf numFmtId="0" fontId="58" fillId="0" borderId="10" xfId="0" applyFont="1" applyBorder="1"/>
    <xf numFmtId="0" fontId="6" fillId="3" borderId="17" xfId="0" applyFont="1" applyFill="1" applyBorder="1" applyAlignment="1">
      <alignment horizontal="left" vertical="top" wrapText="1"/>
    </xf>
    <xf numFmtId="0" fontId="58" fillId="0" borderId="13" xfId="0" applyFont="1" applyBorder="1"/>
    <xf numFmtId="0" fontId="39" fillId="0" borderId="19" xfId="0" applyFont="1" applyBorder="1"/>
    <xf numFmtId="0" fontId="42" fillId="3" borderId="17" xfId="0" applyFont="1" applyFill="1" applyBorder="1" applyAlignment="1">
      <alignment horizontal="left" vertical="top" wrapText="1"/>
    </xf>
    <xf numFmtId="0" fontId="58" fillId="0" borderId="15" xfId="0" applyFont="1" applyBorder="1"/>
    <xf numFmtId="0" fontId="58" fillId="0" borderId="19" xfId="0" applyFont="1" applyBorder="1"/>
    <xf numFmtId="0" fontId="52" fillId="0" borderId="81" xfId="0" applyFont="1" applyBorder="1" applyAlignment="1">
      <alignment horizontal="center" vertical="center" wrapText="1"/>
    </xf>
    <xf numFmtId="0" fontId="26" fillId="4" borderId="35" xfId="0" applyFont="1" applyFill="1" applyBorder="1" applyAlignment="1">
      <alignment horizontal="center" vertical="center" wrapText="1"/>
    </xf>
    <xf numFmtId="0" fontId="23" fillId="0" borderId="7" xfId="0" applyFont="1" applyBorder="1"/>
    <xf numFmtId="0" fontId="5" fillId="4" borderId="40" xfId="0" applyFont="1" applyFill="1" applyBorder="1" applyAlignment="1">
      <alignment horizontal="center" vertical="center" wrapText="1"/>
    </xf>
    <xf numFmtId="0" fontId="36" fillId="0" borderId="48" xfId="0" applyFont="1" applyBorder="1"/>
    <xf numFmtId="0" fontId="36" fillId="0" borderId="55" xfId="0" applyFont="1" applyBorder="1"/>
    <xf numFmtId="0" fontId="26" fillId="4" borderId="49" xfId="0" applyFont="1" applyFill="1" applyBorder="1" applyAlignment="1">
      <alignment horizontal="center" vertical="center" wrapText="1"/>
    </xf>
    <xf numFmtId="0" fontId="23" fillId="0" borderId="59" xfId="0" applyFont="1" applyBorder="1"/>
    <xf numFmtId="0" fontId="26" fillId="4" borderId="50" xfId="0" applyFont="1" applyFill="1" applyBorder="1" applyAlignment="1">
      <alignment horizontal="center" vertical="center" wrapText="1"/>
    </xf>
    <xf numFmtId="0" fontId="23" fillId="0" borderId="60" xfId="0" applyFont="1" applyBorder="1"/>
    <xf numFmtId="0" fontId="42" fillId="4" borderId="51" xfId="0" applyFont="1" applyFill="1" applyBorder="1" applyAlignment="1">
      <alignment horizontal="center" vertical="center" wrapText="1"/>
    </xf>
    <xf numFmtId="0" fontId="42" fillId="4" borderId="52" xfId="0" applyFont="1" applyFill="1" applyBorder="1" applyAlignment="1">
      <alignment horizontal="center" vertical="center" wrapText="1"/>
    </xf>
    <xf numFmtId="0" fontId="44" fillId="0" borderId="135" xfId="0" applyFont="1" applyBorder="1" applyAlignment="1">
      <alignment horizontal="center" vertical="center" wrapText="1"/>
    </xf>
    <xf numFmtId="0" fontId="9" fillId="3" borderId="29" xfId="0" applyFont="1" applyFill="1" applyBorder="1" applyAlignment="1">
      <alignment horizontal="center" vertical="center" wrapText="1"/>
    </xf>
    <xf numFmtId="0" fontId="10" fillId="0" borderId="30" xfId="0" applyFont="1" applyBorder="1"/>
    <xf numFmtId="0" fontId="10" fillId="0" borderId="31" xfId="0" applyFont="1" applyBorder="1"/>
    <xf numFmtId="0" fontId="42" fillId="4" borderId="35" xfId="0" applyFont="1" applyFill="1" applyBorder="1" applyAlignment="1">
      <alignment horizontal="center" vertical="center" wrapText="1"/>
    </xf>
    <xf numFmtId="0" fontId="56" fillId="4" borderId="41" xfId="0" applyFont="1" applyFill="1" applyBorder="1" applyAlignment="1">
      <alignment horizontal="center" vertical="center"/>
    </xf>
    <xf numFmtId="0" fontId="39" fillId="0" borderId="30" xfId="0" applyFont="1" applyBorder="1"/>
    <xf numFmtId="0" fontId="39" fillId="0" borderId="42" xfId="0" applyFont="1" applyBorder="1"/>
    <xf numFmtId="0" fontId="5" fillId="4" borderId="43" xfId="0" applyFont="1" applyFill="1" applyBorder="1" applyAlignment="1">
      <alignment horizontal="center" vertical="center" wrapText="1"/>
    </xf>
    <xf numFmtId="0" fontId="36" fillId="0" borderId="54" xfId="0" applyFont="1" applyBorder="1"/>
    <xf numFmtId="0" fontId="36" fillId="0" borderId="64" xfId="0" applyFont="1" applyBorder="1"/>
    <xf numFmtId="0" fontId="26" fillId="4" borderId="108" xfId="0" applyFont="1" applyFill="1" applyBorder="1" applyAlignment="1">
      <alignment horizontal="center" vertical="center" wrapText="1"/>
    </xf>
    <xf numFmtId="0" fontId="23" fillId="0" borderId="111" xfId="0" applyFont="1" applyBorder="1"/>
    <xf numFmtId="0" fontId="23" fillId="0" borderId="93" xfId="0" applyFont="1" applyBorder="1"/>
    <xf numFmtId="0" fontId="26" fillId="4" borderId="151" xfId="0" applyFont="1" applyFill="1" applyBorder="1" applyAlignment="1">
      <alignment horizontal="center" vertical="center" wrapText="1"/>
    </xf>
    <xf numFmtId="0" fontId="23" fillId="0" borderId="152" xfId="0" applyFont="1" applyBorder="1"/>
    <xf numFmtId="0" fontId="23" fillId="0" borderId="153" xfId="0" applyFont="1" applyBorder="1"/>
    <xf numFmtId="0" fontId="28" fillId="4" borderId="65" xfId="0" applyFont="1" applyFill="1" applyBorder="1" applyAlignment="1">
      <alignment horizontal="left" vertical="top" wrapText="1"/>
    </xf>
    <xf numFmtId="0" fontId="23" fillId="0" borderId="73" xfId="0" applyFont="1" applyBorder="1"/>
    <xf numFmtId="0" fontId="23" fillId="0" borderId="80" xfId="0" applyFont="1" applyBorder="1"/>
    <xf numFmtId="0" fontId="42" fillId="4" borderId="37" xfId="0" applyFont="1" applyFill="1" applyBorder="1" applyAlignment="1">
      <alignment horizontal="center" vertical="center" wrapText="1"/>
    </xf>
    <xf numFmtId="0" fontId="39" fillId="0" borderId="38" xfId="0" applyFont="1" applyBorder="1"/>
    <xf numFmtId="0" fontId="39" fillId="0" borderId="46" xfId="0" applyFont="1" applyBorder="1"/>
    <xf numFmtId="0" fontId="39" fillId="0" borderId="57" xfId="0" applyFont="1" applyBorder="1"/>
    <xf numFmtId="0" fontId="39" fillId="0" borderId="58" xfId="0" applyFont="1" applyBorder="1"/>
    <xf numFmtId="0" fontId="26" fillId="4" borderId="39" xfId="0" applyFont="1" applyFill="1" applyBorder="1" applyAlignment="1">
      <alignment horizontal="center" vertical="center" wrapText="1"/>
    </xf>
    <xf numFmtId="0" fontId="23" fillId="0" borderId="48" xfId="0" applyFont="1" applyBorder="1"/>
    <xf numFmtId="0" fontId="23" fillId="0" borderId="55" xfId="0" applyFont="1" applyBorder="1"/>
    <xf numFmtId="0" fontId="42" fillId="4" borderId="53" xfId="0" applyFont="1" applyFill="1" applyBorder="1" applyAlignment="1">
      <alignment horizontal="center" vertical="center" wrapText="1"/>
    </xf>
    <xf numFmtId="0" fontId="26" fillId="4" borderId="45" xfId="0" applyFont="1" applyFill="1" applyBorder="1" applyAlignment="1">
      <alignment horizontal="center" vertical="center" wrapText="1"/>
    </xf>
    <xf numFmtId="0" fontId="23" fillId="0" borderId="33" xfId="0" applyFont="1" applyBorder="1"/>
    <xf numFmtId="0" fontId="23" fillId="0" borderId="34" xfId="0" applyFont="1" applyBorder="1"/>
    <xf numFmtId="0" fontId="28" fillId="0" borderId="67" xfId="0" applyFont="1" applyBorder="1" applyAlignment="1">
      <alignment horizontal="center" vertical="top" wrapText="1"/>
    </xf>
    <xf numFmtId="0" fontId="28" fillId="4" borderId="68" xfId="0" applyFont="1" applyFill="1" applyBorder="1" applyAlignment="1">
      <alignment horizontal="center" vertical="top" wrapText="1"/>
    </xf>
    <xf numFmtId="0" fontId="23" fillId="0" borderId="81" xfId="0" applyFont="1" applyBorder="1"/>
    <xf numFmtId="0" fontId="28" fillId="4" borderId="68" xfId="0" applyFont="1" applyFill="1" applyBorder="1" applyAlignment="1">
      <alignment horizontal="left" vertical="top" wrapText="1"/>
    </xf>
    <xf numFmtId="0" fontId="29" fillId="4" borderId="68" xfId="0" applyFont="1" applyFill="1" applyBorder="1" applyAlignment="1">
      <alignment horizontal="center" vertical="top" wrapText="1"/>
    </xf>
    <xf numFmtId="9" fontId="29" fillId="4" borderId="68" xfId="0" applyNumberFormat="1" applyFont="1" applyFill="1" applyBorder="1" applyAlignment="1">
      <alignment horizontal="center" vertical="top" wrapText="1"/>
    </xf>
    <xf numFmtId="0" fontId="26" fillId="4" borderId="107" xfId="0" applyFont="1" applyFill="1" applyBorder="1" applyAlignment="1">
      <alignment horizontal="center" vertical="center" wrapText="1"/>
    </xf>
    <xf numFmtId="0" fontId="23" fillId="0" borderId="113" xfId="0" applyFont="1" applyBorder="1"/>
    <xf numFmtId="0" fontId="23" fillId="0" borderId="64" xfId="0" applyFont="1" applyBorder="1"/>
    <xf numFmtId="0" fontId="26" fillId="4" borderId="44" xfId="0" applyFont="1" applyFill="1" applyBorder="1" applyAlignment="1">
      <alignment horizontal="center" vertical="center" wrapText="1"/>
    </xf>
    <xf numFmtId="0" fontId="23" fillId="0" borderId="54" xfId="0" applyFont="1" applyBorder="1"/>
    <xf numFmtId="2" fontId="52" fillId="3" borderId="52" xfId="0" applyNumberFormat="1" applyFont="1" applyFill="1" applyBorder="1" applyAlignment="1">
      <alignment horizontal="center" vertical="center" wrapText="1"/>
    </xf>
    <xf numFmtId="2" fontId="54" fillId="3" borderId="53" xfId="0" applyNumberFormat="1" applyFont="1" applyFill="1" applyBorder="1" applyAlignment="1">
      <alignment horizontal="center" vertical="center" wrapText="1"/>
    </xf>
    <xf numFmtId="0" fontId="53" fillId="0" borderId="101" xfId="0" applyFont="1" applyBorder="1"/>
    <xf numFmtId="2" fontId="26" fillId="4" borderId="68" xfId="0" applyNumberFormat="1" applyFont="1" applyFill="1" applyBorder="1" applyAlignment="1">
      <alignment horizontal="center" vertical="center" wrapText="1"/>
    </xf>
    <xf numFmtId="0" fontId="33" fillId="4" borderId="72" xfId="0" applyFont="1" applyFill="1" applyBorder="1" applyAlignment="1">
      <alignment horizontal="center" vertical="center"/>
    </xf>
    <xf numFmtId="0" fontId="23" fillId="0" borderId="79" xfId="0" applyFont="1" applyBorder="1"/>
    <xf numFmtId="0" fontId="23" fillId="0" borderId="84" xfId="0" applyFont="1" applyBorder="1"/>
    <xf numFmtId="2" fontId="52" fillId="3" borderId="134" xfId="0" applyNumberFormat="1" applyFont="1" applyFill="1" applyBorder="1" applyAlignment="1">
      <alignment horizontal="center" vertical="center" wrapText="1"/>
    </xf>
    <xf numFmtId="0" fontId="53" fillId="0" borderId="126" xfId="0" applyFont="1" applyBorder="1"/>
    <xf numFmtId="0" fontId="53" fillId="0" borderId="144" xfId="0" applyFont="1" applyBorder="1"/>
    <xf numFmtId="164" fontId="54" fillId="3" borderId="137" xfId="0" applyNumberFormat="1" applyFont="1" applyFill="1" applyBorder="1" applyAlignment="1">
      <alignment horizontal="center" vertical="center" wrapText="1"/>
    </xf>
    <xf numFmtId="164" fontId="54" fillId="3" borderId="84" xfId="0" applyNumberFormat="1" applyFont="1" applyFill="1" applyBorder="1" applyAlignment="1">
      <alignment horizontal="center" vertical="center" wrapText="1"/>
    </xf>
    <xf numFmtId="2" fontId="52" fillId="3" borderId="126" xfId="0" applyNumberFormat="1" applyFont="1" applyFill="1" applyBorder="1" applyAlignment="1">
      <alignment horizontal="center" vertical="center" wrapText="1"/>
    </xf>
    <xf numFmtId="0" fontId="53" fillId="0" borderId="92" xfId="0" applyFont="1" applyBorder="1"/>
    <xf numFmtId="0" fontId="53" fillId="0" borderId="96" xfId="0" applyFont="1" applyBorder="1"/>
    <xf numFmtId="2" fontId="52" fillId="3" borderId="68" xfId="0" applyNumberFormat="1" applyFont="1" applyFill="1" applyBorder="1" applyAlignment="1">
      <alignment horizontal="center" vertical="center" wrapText="1"/>
    </xf>
    <xf numFmtId="2" fontId="54" fillId="3" borderId="72" xfId="0" applyNumberFormat="1" applyFont="1" applyFill="1" applyBorder="1" applyAlignment="1">
      <alignment horizontal="center" vertical="center" wrapText="1"/>
    </xf>
    <xf numFmtId="0" fontId="6" fillId="3" borderId="133" xfId="0" applyFont="1" applyFill="1" applyBorder="1" applyAlignment="1">
      <alignment horizontal="center" vertical="center" wrapText="1"/>
    </xf>
    <xf numFmtId="0" fontId="51" fillId="0" borderId="90" xfId="0" applyFont="1" applyBorder="1" applyAlignment="1">
      <alignment horizontal="center" vertical="center" wrapText="1"/>
    </xf>
    <xf numFmtId="0" fontId="52" fillId="3" borderId="85" xfId="0" applyFont="1" applyFill="1" applyBorder="1" applyAlignment="1">
      <alignment horizontal="center" vertical="center" wrapText="1"/>
    </xf>
    <xf numFmtId="0" fontId="53" fillId="0" borderId="73" xfId="0" applyFont="1" applyBorder="1"/>
    <xf numFmtId="0" fontId="53" fillId="0" borderId="61" xfId="0" applyFont="1" applyBorder="1"/>
    <xf numFmtId="164" fontId="52" fillId="3" borderId="89" xfId="0" applyNumberFormat="1" applyFont="1" applyFill="1" applyBorder="1" applyAlignment="1">
      <alignment horizontal="center" vertical="center" wrapText="1"/>
    </xf>
    <xf numFmtId="164" fontId="54" fillId="3" borderId="90" xfId="0" applyNumberFormat="1" applyFont="1" applyFill="1" applyBorder="1" applyAlignment="1">
      <alignment horizontal="center" vertical="center" wrapText="1"/>
    </xf>
    <xf numFmtId="0" fontId="52" fillId="0" borderId="81" xfId="0" applyFont="1" applyBorder="1" applyAlignment="1">
      <alignment horizontal="left" vertical="center" wrapText="1"/>
    </xf>
    <xf numFmtId="0" fontId="55" fillId="0" borderId="75" xfId="0" applyFont="1" applyBorder="1"/>
    <xf numFmtId="0" fontId="55" fillId="0" borderId="62" xfId="0" applyFont="1" applyBorder="1"/>
    <xf numFmtId="0" fontId="52" fillId="0" borderId="128" xfId="0" applyFont="1" applyBorder="1" applyAlignment="1">
      <alignment horizontal="left" vertical="center" wrapText="1"/>
    </xf>
    <xf numFmtId="0" fontId="55" fillId="0" borderId="91" xfId="0" applyFont="1" applyBorder="1"/>
    <xf numFmtId="0" fontId="55" fillId="0" borderId="100" xfId="0" applyFont="1" applyBorder="1"/>
    <xf numFmtId="164" fontId="52" fillId="0" borderId="81" xfId="0" applyNumberFormat="1" applyFont="1" applyBorder="1" applyAlignment="1">
      <alignment horizontal="center" vertical="center" wrapText="1"/>
    </xf>
    <xf numFmtId="164" fontId="54" fillId="0" borderId="8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428625</xdr:colOff>
      <xdr:row>0</xdr:row>
      <xdr:rowOff>666750</xdr:rowOff>
    </xdr:from>
    <xdr:ext cx="1733550" cy="7048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483988" y="3432338"/>
          <a:ext cx="1724025" cy="6953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800"/>
            <a:buFont typeface="Calibri"/>
            <a:buNone/>
          </a:pPr>
          <a:r>
            <a:rPr lang="en-US" sz="2800" b="1">
              <a:solidFill>
                <a:schemeClr val="dk1"/>
              </a:solidFill>
              <a:latin typeface="Calibri"/>
              <a:ea typeface="Calibri"/>
              <a:cs typeface="Calibri"/>
              <a:sym typeface="Calibri"/>
            </a:rPr>
            <a:t>Annex A</a:t>
          </a:r>
          <a:endParaRPr sz="1400"/>
        </a:p>
      </xdr:txBody>
    </xdr:sp>
    <xdr:clientData fLocksWithSheet="0"/>
  </xdr:oneCellAnchor>
  <xdr:oneCellAnchor>
    <xdr:from>
      <xdr:col>10</xdr:col>
      <xdr:colOff>381000</xdr:colOff>
      <xdr:row>0</xdr:row>
      <xdr:rowOff>222250</xdr:rowOff>
    </xdr:from>
    <xdr:ext cx="11229975" cy="25558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2215091" y="222250"/>
          <a:ext cx="11229975" cy="25558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85623"/>
  </sheetPr>
  <dimension ref="A1:AG1002"/>
  <sheetViews>
    <sheetView tabSelected="1" view="pageLayout" topLeftCell="B123" zoomScale="53" zoomScaleNormal="25" zoomScaleSheetLayoutView="10" zoomScalePageLayoutView="53" workbookViewId="0">
      <selection activeCell="I147" sqref="I147"/>
    </sheetView>
  </sheetViews>
  <sheetFormatPr defaultColWidth="12.7109375" defaultRowHeight="15" customHeight="1" x14ac:dyDescent="0.3"/>
  <cols>
    <col min="1" max="1" width="1.42578125" style="4" customWidth="1"/>
    <col min="2" max="2" width="23.140625" style="4" customWidth="1"/>
    <col min="3" max="3" width="21.85546875" style="4" customWidth="1"/>
    <col min="4" max="4" width="19.85546875" style="4" customWidth="1"/>
    <col min="5" max="5" width="25.140625" style="4" customWidth="1"/>
    <col min="6" max="6" width="24.85546875" style="4" customWidth="1"/>
    <col min="7" max="7" width="6.28515625" style="4" customWidth="1"/>
    <col min="8" max="8" width="14.85546875" style="4" customWidth="1"/>
    <col min="9" max="9" width="15.42578125" style="4" customWidth="1"/>
    <col min="10" max="10" width="16.42578125" style="4" customWidth="1"/>
    <col min="11" max="11" width="19.140625" style="4" customWidth="1"/>
    <col min="12" max="12" width="18.85546875" style="4" customWidth="1"/>
    <col min="13" max="13" width="51.7109375" style="4" customWidth="1"/>
    <col min="14" max="14" width="45.28515625" style="4" customWidth="1"/>
    <col min="15" max="15" width="38" style="4" customWidth="1"/>
    <col min="16" max="16" width="35.85546875" style="4" customWidth="1"/>
    <col min="17" max="17" width="36.85546875" style="4" customWidth="1"/>
    <col min="18" max="18" width="24.42578125" style="4" customWidth="1"/>
    <col min="19" max="19" width="22.140625" style="4" customWidth="1"/>
    <col min="20" max="21" width="15.140625" style="4" customWidth="1"/>
    <col min="22" max="22" width="20.42578125" style="4" customWidth="1"/>
    <col min="23" max="23" width="62.42578125" style="4" customWidth="1"/>
    <col min="24" max="32" width="9.140625" style="4" customWidth="1"/>
    <col min="33" max="33" width="14.42578125" style="4" customWidth="1"/>
    <col min="34" max="16384" width="12.7109375" style="4"/>
  </cols>
  <sheetData>
    <row r="1" spans="1:33" ht="229.5" customHeight="1" x14ac:dyDescent="0.3">
      <c r="A1" s="1"/>
      <c r="B1" s="508"/>
      <c r="C1" s="509"/>
      <c r="D1" s="509"/>
      <c r="E1" s="509"/>
      <c r="F1" s="509"/>
      <c r="G1" s="509"/>
      <c r="H1" s="509"/>
      <c r="I1" s="509"/>
      <c r="J1" s="509"/>
      <c r="K1" s="509"/>
      <c r="L1" s="509"/>
      <c r="M1" s="509"/>
      <c r="N1" s="509"/>
      <c r="O1" s="509"/>
      <c r="P1" s="509"/>
      <c r="Q1" s="509"/>
      <c r="R1" s="509"/>
      <c r="S1" s="509"/>
      <c r="T1" s="509"/>
      <c r="U1" s="509"/>
      <c r="V1" s="510"/>
      <c r="W1" s="2"/>
      <c r="X1" s="1"/>
      <c r="Y1" s="1"/>
      <c r="Z1" s="1"/>
      <c r="AA1" s="1"/>
      <c r="AB1" s="1"/>
      <c r="AC1" s="1"/>
      <c r="AD1" s="1"/>
      <c r="AE1" s="1"/>
      <c r="AF1" s="1"/>
      <c r="AG1" s="3"/>
    </row>
    <row r="2" spans="1:33" ht="42.75" customHeight="1" x14ac:dyDescent="0.4">
      <c r="A2" s="1"/>
      <c r="B2" s="511" t="s">
        <v>483</v>
      </c>
      <c r="C2" s="512"/>
      <c r="D2" s="512"/>
      <c r="E2" s="512"/>
      <c r="F2" s="512"/>
      <c r="G2" s="512"/>
      <c r="H2" s="512"/>
      <c r="I2" s="512"/>
      <c r="J2" s="512"/>
      <c r="K2" s="512"/>
      <c r="L2" s="512"/>
      <c r="M2" s="512"/>
      <c r="N2" s="512"/>
      <c r="O2" s="512"/>
      <c r="P2" s="512"/>
      <c r="Q2" s="512"/>
      <c r="R2" s="512"/>
      <c r="S2" s="512"/>
      <c r="T2" s="512"/>
      <c r="U2" s="512"/>
      <c r="V2" s="513"/>
      <c r="W2" s="2"/>
      <c r="X2" s="1"/>
      <c r="Y2" s="1"/>
      <c r="Z2" s="1"/>
      <c r="AA2" s="1"/>
      <c r="AB2" s="1"/>
      <c r="AC2" s="1"/>
      <c r="AD2" s="1"/>
      <c r="AE2" s="1"/>
      <c r="AF2" s="1"/>
      <c r="AG2" s="3"/>
    </row>
    <row r="3" spans="1:33" ht="33.75" customHeight="1" thickBot="1" x14ac:dyDescent="0.35">
      <c r="A3" s="1"/>
      <c r="B3" s="514"/>
      <c r="C3" s="427"/>
      <c r="D3" s="427"/>
      <c r="E3" s="427"/>
      <c r="F3" s="427"/>
      <c r="G3" s="427"/>
      <c r="H3" s="427"/>
      <c r="I3" s="427"/>
      <c r="J3" s="427"/>
      <c r="K3" s="427"/>
      <c r="L3" s="427"/>
      <c r="M3" s="427"/>
      <c r="N3" s="427"/>
      <c r="O3" s="427"/>
      <c r="P3" s="427"/>
      <c r="Q3" s="427"/>
      <c r="R3" s="427"/>
      <c r="S3" s="427"/>
      <c r="T3" s="427"/>
      <c r="U3" s="427"/>
      <c r="V3" s="515"/>
      <c r="W3" s="2"/>
      <c r="X3" s="1"/>
      <c r="Y3" s="1"/>
      <c r="Z3" s="1"/>
      <c r="AA3" s="1"/>
      <c r="AB3" s="1"/>
      <c r="AC3" s="1"/>
      <c r="AD3" s="1"/>
      <c r="AE3" s="1"/>
      <c r="AF3" s="1"/>
      <c r="AG3" s="3"/>
    </row>
    <row r="4" spans="1:33" s="86" customFormat="1" ht="30.6" customHeight="1" x14ac:dyDescent="0.4">
      <c r="A4" s="146"/>
      <c r="B4" s="516" t="s">
        <v>0</v>
      </c>
      <c r="C4" s="517"/>
      <c r="D4" s="517"/>
      <c r="E4" s="518"/>
      <c r="F4" s="519"/>
      <c r="G4" s="520"/>
      <c r="H4" s="520"/>
      <c r="I4" s="520"/>
      <c r="J4" s="520"/>
      <c r="K4" s="520"/>
      <c r="L4" s="520"/>
      <c r="M4" s="521"/>
      <c r="N4" s="147" t="s">
        <v>490</v>
      </c>
      <c r="O4" s="519" t="s">
        <v>450</v>
      </c>
      <c r="P4" s="520"/>
      <c r="Q4" s="520"/>
      <c r="R4" s="520"/>
      <c r="S4" s="520"/>
      <c r="T4" s="520"/>
      <c r="U4" s="520"/>
      <c r="V4" s="523"/>
      <c r="W4" s="148"/>
      <c r="X4" s="146"/>
      <c r="Y4" s="146"/>
      <c r="Z4" s="146"/>
      <c r="AA4" s="146"/>
      <c r="AB4" s="146"/>
      <c r="AC4" s="146"/>
      <c r="AD4" s="146"/>
      <c r="AE4" s="146"/>
      <c r="AF4" s="146"/>
      <c r="AG4" s="149"/>
    </row>
    <row r="5" spans="1:33" s="86" customFormat="1" ht="30.6" customHeight="1" x14ac:dyDescent="0.4">
      <c r="A5" s="146"/>
      <c r="B5" s="499" t="s">
        <v>1</v>
      </c>
      <c r="C5" s="458"/>
      <c r="D5" s="458"/>
      <c r="E5" s="459"/>
      <c r="F5" s="522"/>
      <c r="G5" s="458"/>
      <c r="H5" s="458"/>
      <c r="I5" s="458"/>
      <c r="J5" s="458"/>
      <c r="K5" s="458"/>
      <c r="L5" s="458"/>
      <c r="M5" s="459"/>
      <c r="N5" s="150" t="s">
        <v>2</v>
      </c>
      <c r="O5" s="522" t="s">
        <v>448</v>
      </c>
      <c r="P5" s="458"/>
      <c r="Q5" s="458"/>
      <c r="R5" s="458"/>
      <c r="S5" s="458"/>
      <c r="T5" s="458"/>
      <c r="U5" s="458"/>
      <c r="V5" s="524"/>
      <c r="W5" s="148"/>
      <c r="X5" s="146"/>
      <c r="Y5" s="146"/>
      <c r="Z5" s="146"/>
      <c r="AA5" s="146"/>
      <c r="AB5" s="146"/>
      <c r="AC5" s="146"/>
      <c r="AD5" s="146"/>
      <c r="AE5" s="146"/>
      <c r="AF5" s="146"/>
      <c r="AG5" s="149"/>
    </row>
    <row r="6" spans="1:33" s="86" customFormat="1" ht="30.6" customHeight="1" x14ac:dyDescent="0.4">
      <c r="A6" s="146"/>
      <c r="B6" s="499" t="s">
        <v>3</v>
      </c>
      <c r="C6" s="458"/>
      <c r="D6" s="458"/>
      <c r="E6" s="459"/>
      <c r="F6" s="522"/>
      <c r="G6" s="458"/>
      <c r="H6" s="458"/>
      <c r="I6" s="458"/>
      <c r="J6" s="458"/>
      <c r="K6" s="458"/>
      <c r="L6" s="458"/>
      <c r="M6" s="459"/>
      <c r="N6" s="150" t="s">
        <v>4</v>
      </c>
      <c r="O6" s="525" t="s">
        <v>449</v>
      </c>
      <c r="P6" s="526"/>
      <c r="Q6" s="526"/>
      <c r="R6" s="526"/>
      <c r="S6" s="526"/>
      <c r="T6" s="526"/>
      <c r="U6" s="526"/>
      <c r="V6" s="527"/>
      <c r="W6" s="148"/>
      <c r="X6" s="146"/>
      <c r="Y6" s="146"/>
      <c r="Z6" s="146"/>
      <c r="AA6" s="146"/>
      <c r="AB6" s="146"/>
      <c r="AC6" s="146"/>
      <c r="AD6" s="146"/>
      <c r="AE6" s="146"/>
      <c r="AF6" s="146"/>
      <c r="AG6" s="149"/>
    </row>
    <row r="7" spans="1:33" s="86" customFormat="1" ht="30.6" customHeight="1" x14ac:dyDescent="0.4">
      <c r="A7" s="146"/>
      <c r="B7" s="499" t="s">
        <v>5</v>
      </c>
      <c r="C7" s="458"/>
      <c r="D7" s="458"/>
      <c r="E7" s="459"/>
      <c r="F7" s="500"/>
      <c r="G7" s="501"/>
      <c r="H7" s="501"/>
      <c r="I7" s="501"/>
      <c r="J7" s="501"/>
      <c r="K7" s="501"/>
      <c r="L7" s="501"/>
      <c r="M7" s="502"/>
      <c r="N7" s="150" t="s">
        <v>6</v>
      </c>
      <c r="O7" s="139"/>
      <c r="P7" s="139"/>
      <c r="Q7" s="139"/>
      <c r="R7" s="139"/>
      <c r="S7" s="139"/>
      <c r="T7" s="139"/>
      <c r="U7" s="139"/>
      <c r="V7" s="151"/>
      <c r="W7" s="148"/>
      <c r="X7" s="146"/>
      <c r="Y7" s="146"/>
      <c r="Z7" s="146"/>
      <c r="AA7" s="146"/>
      <c r="AB7" s="146"/>
      <c r="AC7" s="146"/>
      <c r="AD7" s="146"/>
      <c r="AE7" s="146"/>
      <c r="AF7" s="146"/>
      <c r="AG7" s="149"/>
    </row>
    <row r="8" spans="1:33" s="86" customFormat="1" ht="110.45" customHeight="1" thickBot="1" x14ac:dyDescent="0.45">
      <c r="A8" s="146"/>
      <c r="B8" s="503" t="s">
        <v>7</v>
      </c>
      <c r="C8" s="504"/>
      <c r="D8" s="504"/>
      <c r="E8" s="505"/>
      <c r="F8" s="506" t="s">
        <v>489</v>
      </c>
      <c r="G8" s="504"/>
      <c r="H8" s="504"/>
      <c r="I8" s="504"/>
      <c r="J8" s="504"/>
      <c r="K8" s="504"/>
      <c r="L8" s="504"/>
      <c r="M8" s="504"/>
      <c r="N8" s="504"/>
      <c r="O8" s="504"/>
      <c r="P8" s="504"/>
      <c r="Q8" s="504"/>
      <c r="R8" s="504"/>
      <c r="S8" s="504"/>
      <c r="T8" s="504"/>
      <c r="U8" s="504"/>
      <c r="V8" s="507"/>
      <c r="W8" s="148"/>
      <c r="X8" s="146"/>
      <c r="Y8" s="146"/>
      <c r="Z8" s="146"/>
      <c r="AA8" s="146"/>
      <c r="AB8" s="146"/>
      <c r="AC8" s="146"/>
      <c r="AD8" s="146"/>
      <c r="AE8" s="146"/>
      <c r="AF8" s="146"/>
      <c r="AG8" s="149"/>
    </row>
    <row r="9" spans="1:33" ht="19.5" customHeight="1" x14ac:dyDescent="0.3">
      <c r="A9" s="1"/>
      <c r="B9" s="541"/>
      <c r="C9" s="542"/>
      <c r="D9" s="542"/>
      <c r="E9" s="542"/>
      <c r="F9" s="542"/>
      <c r="G9" s="542"/>
      <c r="H9" s="542"/>
      <c r="I9" s="542"/>
      <c r="J9" s="542"/>
      <c r="K9" s="542"/>
      <c r="L9" s="542"/>
      <c r="M9" s="542"/>
      <c r="N9" s="542"/>
      <c r="O9" s="542"/>
      <c r="P9" s="542"/>
      <c r="Q9" s="542"/>
      <c r="R9" s="542"/>
      <c r="S9" s="542"/>
      <c r="T9" s="542"/>
      <c r="U9" s="542"/>
      <c r="V9" s="543"/>
      <c r="W9" s="2"/>
      <c r="X9" s="1"/>
      <c r="Y9" s="1"/>
      <c r="Z9" s="1"/>
      <c r="AA9" s="1"/>
      <c r="AB9" s="1"/>
      <c r="AC9" s="1"/>
      <c r="AD9" s="1"/>
      <c r="AE9" s="1"/>
      <c r="AF9" s="1"/>
      <c r="AG9" s="3"/>
    </row>
    <row r="10" spans="1:33" s="63" customFormat="1" ht="112.5" customHeight="1" x14ac:dyDescent="0.4">
      <c r="A10" s="60"/>
      <c r="B10" s="425" t="s">
        <v>484</v>
      </c>
      <c r="C10" s="331"/>
      <c r="D10" s="331"/>
      <c r="E10" s="331"/>
      <c r="F10" s="331"/>
      <c r="G10" s="331"/>
      <c r="H10" s="331"/>
      <c r="I10" s="331"/>
      <c r="J10" s="331"/>
      <c r="K10" s="331"/>
      <c r="L10" s="331"/>
      <c r="M10" s="331"/>
      <c r="N10" s="331"/>
      <c r="O10" s="331"/>
      <c r="P10" s="331"/>
      <c r="Q10" s="331"/>
      <c r="R10" s="331"/>
      <c r="S10" s="331"/>
      <c r="T10" s="331"/>
      <c r="U10" s="331"/>
      <c r="V10" s="331"/>
      <c r="W10" s="61"/>
      <c r="X10" s="60"/>
      <c r="Y10" s="60"/>
      <c r="Z10" s="60"/>
      <c r="AA10" s="60"/>
      <c r="AB10" s="60"/>
      <c r="AC10" s="60"/>
      <c r="AD10" s="60"/>
      <c r="AE10" s="60"/>
      <c r="AF10" s="60"/>
      <c r="AG10" s="62"/>
    </row>
    <row r="11" spans="1:33" ht="2.4500000000000002" customHeight="1" thickBot="1"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row>
    <row r="12" spans="1:33" ht="36.6" customHeight="1" thickBot="1" x14ac:dyDescent="0.45">
      <c r="A12" s="3"/>
      <c r="B12" s="431" t="s">
        <v>8</v>
      </c>
      <c r="C12" s="432"/>
      <c r="D12" s="432"/>
      <c r="E12" s="432"/>
      <c r="F12" s="432"/>
      <c r="G12" s="432"/>
      <c r="H12" s="432"/>
      <c r="I12" s="432"/>
      <c r="J12" s="432"/>
      <c r="K12" s="432"/>
      <c r="L12" s="432"/>
      <c r="M12" s="432"/>
      <c r="N12" s="432"/>
      <c r="O12" s="432"/>
      <c r="P12" s="432"/>
      <c r="Q12" s="432"/>
      <c r="R12" s="433"/>
      <c r="S12" s="498" t="s">
        <v>9</v>
      </c>
      <c r="T12" s="341"/>
      <c r="U12" s="329"/>
      <c r="V12" s="289"/>
      <c r="W12" s="3"/>
      <c r="X12" s="3"/>
      <c r="Y12" s="3"/>
      <c r="Z12" s="3"/>
      <c r="AA12" s="3"/>
      <c r="AB12" s="3"/>
      <c r="AC12" s="3"/>
      <c r="AD12" s="3"/>
      <c r="AE12" s="3"/>
      <c r="AF12" s="3"/>
      <c r="AG12" s="3"/>
    </row>
    <row r="13" spans="1:33" ht="163.5" customHeight="1" thickBot="1" x14ac:dyDescent="0.45">
      <c r="A13" s="62"/>
      <c r="B13" s="544" t="s">
        <v>10</v>
      </c>
      <c r="C13" s="333"/>
      <c r="D13" s="333"/>
      <c r="E13" s="334"/>
      <c r="F13" s="560" t="s">
        <v>480</v>
      </c>
      <c r="G13" s="561"/>
      <c r="H13" s="565" t="s">
        <v>11</v>
      </c>
      <c r="I13" s="565" t="s">
        <v>12</v>
      </c>
      <c r="J13" s="529" t="s">
        <v>463</v>
      </c>
      <c r="K13" s="530"/>
      <c r="L13" s="531" t="s">
        <v>479</v>
      </c>
      <c r="M13" s="545" t="s">
        <v>13</v>
      </c>
      <c r="N13" s="546"/>
      <c r="O13" s="546"/>
      <c r="P13" s="546"/>
      <c r="Q13" s="547"/>
      <c r="R13" s="548" t="s">
        <v>14</v>
      </c>
      <c r="S13" s="551" t="s">
        <v>15</v>
      </c>
      <c r="T13" s="554" t="s">
        <v>16</v>
      </c>
      <c r="U13" s="578" t="s">
        <v>17</v>
      </c>
      <c r="V13" s="581" t="s">
        <v>18</v>
      </c>
      <c r="W13" s="3"/>
      <c r="X13" s="3"/>
      <c r="Y13" s="3"/>
      <c r="Z13" s="3"/>
      <c r="AA13" s="3"/>
      <c r="AB13" s="3"/>
      <c r="AC13" s="3"/>
      <c r="AD13" s="3"/>
      <c r="AE13" s="3"/>
      <c r="AF13" s="3"/>
      <c r="AG13" s="3"/>
    </row>
    <row r="14" spans="1:33" ht="46.5" customHeight="1" thickBot="1" x14ac:dyDescent="0.4">
      <c r="A14" s="62"/>
      <c r="B14" s="531" t="s">
        <v>481</v>
      </c>
      <c r="C14" s="569" t="s">
        <v>464</v>
      </c>
      <c r="D14" s="570"/>
      <c r="E14" s="571"/>
      <c r="F14" s="562"/>
      <c r="G14" s="369"/>
      <c r="H14" s="566"/>
      <c r="I14" s="566"/>
      <c r="J14" s="534" t="s">
        <v>465</v>
      </c>
      <c r="K14" s="536" t="s">
        <v>466</v>
      </c>
      <c r="L14" s="532"/>
      <c r="M14" s="538" t="s">
        <v>19</v>
      </c>
      <c r="N14" s="539" t="s">
        <v>20</v>
      </c>
      <c r="O14" s="539" t="s">
        <v>21</v>
      </c>
      <c r="P14" s="539" t="s">
        <v>22</v>
      </c>
      <c r="Q14" s="568" t="s">
        <v>23</v>
      </c>
      <c r="R14" s="549"/>
      <c r="S14" s="552"/>
      <c r="T14" s="555"/>
      <c r="U14" s="579"/>
      <c r="V14" s="582"/>
      <c r="W14" s="3"/>
      <c r="X14" s="3"/>
      <c r="Y14" s="3"/>
      <c r="Z14" s="3"/>
      <c r="AA14" s="3"/>
      <c r="AB14" s="3"/>
      <c r="AC14" s="3"/>
      <c r="AD14" s="3"/>
      <c r="AE14" s="3"/>
      <c r="AF14" s="3"/>
      <c r="AG14" s="3"/>
    </row>
    <row r="15" spans="1:33" ht="70.5" customHeight="1" thickBot="1" x14ac:dyDescent="0.35">
      <c r="A15" s="64"/>
      <c r="B15" s="533"/>
      <c r="C15" s="124" t="s">
        <v>24</v>
      </c>
      <c r="D15" s="124" t="s">
        <v>25</v>
      </c>
      <c r="E15" s="124" t="s">
        <v>26</v>
      </c>
      <c r="F15" s="563"/>
      <c r="G15" s="564"/>
      <c r="H15" s="567"/>
      <c r="I15" s="567"/>
      <c r="J15" s="535"/>
      <c r="K15" s="537"/>
      <c r="L15" s="533"/>
      <c r="M15" s="242"/>
      <c r="N15" s="241"/>
      <c r="O15" s="241"/>
      <c r="P15" s="241"/>
      <c r="Q15" s="419"/>
      <c r="R15" s="549"/>
      <c r="S15" s="553"/>
      <c r="T15" s="556"/>
      <c r="U15" s="580"/>
      <c r="V15" s="580"/>
      <c r="W15" s="8"/>
      <c r="X15" s="7"/>
      <c r="Y15" s="7"/>
      <c r="Z15" s="7"/>
      <c r="AA15" s="7"/>
      <c r="AB15" s="7"/>
      <c r="AC15" s="7"/>
      <c r="AD15" s="7"/>
      <c r="AE15" s="7"/>
      <c r="AF15" s="7"/>
      <c r="AG15" s="3"/>
    </row>
    <row r="16" spans="1:33" ht="90" hidden="1" customHeight="1" x14ac:dyDescent="0.3">
      <c r="A16" s="60"/>
      <c r="B16" s="557" t="s">
        <v>27</v>
      </c>
      <c r="C16" s="65"/>
      <c r="D16" s="65"/>
      <c r="E16" s="572" t="s">
        <v>28</v>
      </c>
      <c r="F16" s="573" t="s">
        <v>29</v>
      </c>
      <c r="G16" s="575" t="s">
        <v>30</v>
      </c>
      <c r="H16" s="576" t="s">
        <v>31</v>
      </c>
      <c r="I16" s="577">
        <v>0.35</v>
      </c>
      <c r="J16" s="66"/>
      <c r="K16" s="66"/>
      <c r="L16" s="67" t="s">
        <v>32</v>
      </c>
      <c r="M16" s="68" t="s">
        <v>467</v>
      </c>
      <c r="N16" s="69" t="s">
        <v>468</v>
      </c>
      <c r="O16" s="69" t="s">
        <v>469</v>
      </c>
      <c r="P16" s="69" t="s">
        <v>470</v>
      </c>
      <c r="Q16" s="69" t="s">
        <v>471</v>
      </c>
      <c r="R16" s="550"/>
      <c r="S16" s="70" t="s">
        <v>33</v>
      </c>
      <c r="T16" s="71">
        <v>5</v>
      </c>
      <c r="U16" s="586">
        <f>AVERAGE(T16:T18)</f>
        <v>4.666666666666667</v>
      </c>
      <c r="V16" s="587"/>
      <c r="W16" s="2"/>
      <c r="X16" s="1"/>
      <c r="Y16" s="1"/>
      <c r="Z16" s="1"/>
      <c r="AA16" s="1"/>
      <c r="AB16" s="1"/>
      <c r="AC16" s="1"/>
      <c r="AD16" s="1"/>
      <c r="AE16" s="1"/>
      <c r="AF16" s="1"/>
      <c r="AG16" s="9"/>
    </row>
    <row r="17" spans="1:33" ht="102.75" hidden="1" customHeight="1" x14ac:dyDescent="0.35">
      <c r="A17" s="60"/>
      <c r="B17" s="558"/>
      <c r="C17" s="72"/>
      <c r="D17" s="72"/>
      <c r="E17" s="450"/>
      <c r="F17" s="450"/>
      <c r="G17" s="450"/>
      <c r="H17" s="450"/>
      <c r="I17" s="450"/>
      <c r="J17" s="73"/>
      <c r="K17" s="73"/>
      <c r="L17" s="74" t="s">
        <v>34</v>
      </c>
      <c r="M17" s="75" t="s">
        <v>472</v>
      </c>
      <c r="N17" s="75" t="s">
        <v>473</v>
      </c>
      <c r="O17" s="75" t="s">
        <v>474</v>
      </c>
      <c r="P17" s="75" t="s">
        <v>475</v>
      </c>
      <c r="Q17" s="75" t="s">
        <v>476</v>
      </c>
      <c r="R17" s="76"/>
      <c r="S17" s="77" t="s">
        <v>35</v>
      </c>
      <c r="T17" s="78">
        <v>4</v>
      </c>
      <c r="U17" s="450"/>
      <c r="V17" s="588"/>
      <c r="W17" s="2"/>
      <c r="X17" s="1"/>
      <c r="Y17" s="1"/>
      <c r="Z17" s="1"/>
      <c r="AA17" s="1"/>
      <c r="AB17" s="1"/>
      <c r="AC17" s="1"/>
      <c r="AD17" s="1"/>
      <c r="AE17" s="1"/>
      <c r="AF17" s="1"/>
      <c r="AG17" s="5"/>
    </row>
    <row r="18" spans="1:33" ht="18" hidden="1" customHeight="1" x14ac:dyDescent="0.35">
      <c r="A18" s="60"/>
      <c r="B18" s="559"/>
      <c r="C18" s="72"/>
      <c r="D18" s="72"/>
      <c r="E18" s="450"/>
      <c r="F18" s="574"/>
      <c r="G18" s="574"/>
      <c r="H18" s="574"/>
      <c r="I18" s="574"/>
      <c r="J18" s="73"/>
      <c r="K18" s="73"/>
      <c r="L18" s="73" t="s">
        <v>36</v>
      </c>
      <c r="M18" s="79" t="s">
        <v>37</v>
      </c>
      <c r="N18" s="79" t="s">
        <v>38</v>
      </c>
      <c r="O18" s="79" t="s">
        <v>39</v>
      </c>
      <c r="P18" s="79" t="s">
        <v>40</v>
      </c>
      <c r="Q18" s="79" t="s">
        <v>41</v>
      </c>
      <c r="R18" s="80"/>
      <c r="S18" s="81" t="s">
        <v>42</v>
      </c>
      <c r="T18" s="82">
        <v>5</v>
      </c>
      <c r="U18" s="574"/>
      <c r="V18" s="589"/>
      <c r="W18" s="2"/>
      <c r="X18" s="1"/>
      <c r="Y18" s="1"/>
      <c r="Z18" s="1"/>
      <c r="AA18" s="1"/>
      <c r="AB18" s="1"/>
      <c r="AC18" s="1"/>
      <c r="AD18" s="1"/>
      <c r="AE18" s="1"/>
      <c r="AF18" s="1"/>
      <c r="AG18" s="5"/>
    </row>
    <row r="19" spans="1:33" ht="282.60000000000002" customHeight="1" x14ac:dyDescent="0.3">
      <c r="A19" s="1"/>
      <c r="B19" s="492" t="s">
        <v>482</v>
      </c>
      <c r="C19" s="495" t="s">
        <v>478</v>
      </c>
      <c r="D19" s="261" t="s">
        <v>44</v>
      </c>
      <c r="E19" s="496" t="s">
        <v>45</v>
      </c>
      <c r="F19" s="474" t="s">
        <v>46</v>
      </c>
      <c r="G19" s="244"/>
      <c r="H19" s="475"/>
      <c r="I19" s="476">
        <v>0.05</v>
      </c>
      <c r="J19" s="225">
        <v>2</v>
      </c>
      <c r="K19" s="225" t="s">
        <v>47</v>
      </c>
      <c r="L19" s="126" t="s">
        <v>32</v>
      </c>
      <c r="M19" s="144" t="s">
        <v>48</v>
      </c>
      <c r="N19" s="153" t="s">
        <v>49</v>
      </c>
      <c r="O19" s="153" t="s">
        <v>50</v>
      </c>
      <c r="P19" s="153" t="s">
        <v>51</v>
      </c>
      <c r="Q19" s="153" t="s">
        <v>52</v>
      </c>
      <c r="R19" s="540" t="s">
        <v>53</v>
      </c>
      <c r="S19" s="600" t="s">
        <v>54</v>
      </c>
      <c r="T19" s="162"/>
      <c r="U19" s="590" t="e">
        <f>AVERAGE(T19:T21)</f>
        <v>#DIV/0!</v>
      </c>
      <c r="V19" s="593" t="e">
        <f>U19*I19</f>
        <v>#DIV/0!</v>
      </c>
      <c r="W19" s="2"/>
      <c r="X19" s="1"/>
      <c r="Y19" s="1"/>
      <c r="Z19" s="1"/>
      <c r="AA19" s="1"/>
      <c r="AB19" s="1"/>
      <c r="AC19" s="1"/>
      <c r="AD19" s="1"/>
      <c r="AE19" s="1"/>
      <c r="AF19" s="1"/>
      <c r="AG19" s="5"/>
    </row>
    <row r="20" spans="1:33" ht="243.6" customHeight="1" x14ac:dyDescent="0.3">
      <c r="A20" s="1"/>
      <c r="B20" s="493"/>
      <c r="C20" s="232"/>
      <c r="D20" s="232"/>
      <c r="E20" s="263"/>
      <c r="F20" s="373"/>
      <c r="G20" s="230"/>
      <c r="H20" s="230"/>
      <c r="I20" s="226"/>
      <c r="J20" s="226"/>
      <c r="K20" s="226"/>
      <c r="L20" s="89" t="s">
        <v>34</v>
      </c>
      <c r="M20" s="152" t="s">
        <v>485</v>
      </c>
      <c r="N20" s="100" t="s">
        <v>55</v>
      </c>
      <c r="O20" s="100" t="s">
        <v>56</v>
      </c>
      <c r="P20" s="100" t="s">
        <v>57</v>
      </c>
      <c r="Q20" s="100" t="s">
        <v>58</v>
      </c>
      <c r="R20" s="226"/>
      <c r="S20" s="245"/>
      <c r="T20" s="163"/>
      <c r="U20" s="591"/>
      <c r="V20" s="325"/>
      <c r="W20" s="2"/>
      <c r="X20" s="1"/>
      <c r="Y20" s="1"/>
      <c r="Z20" s="1"/>
      <c r="AA20" s="1"/>
      <c r="AB20" s="1"/>
      <c r="AC20" s="1"/>
      <c r="AD20" s="1"/>
      <c r="AE20" s="1"/>
      <c r="AF20" s="1"/>
      <c r="AG20" s="5"/>
    </row>
    <row r="21" spans="1:33" ht="135" customHeight="1" thickBot="1" x14ac:dyDescent="0.35">
      <c r="A21" s="1"/>
      <c r="B21" s="494"/>
      <c r="C21" s="233"/>
      <c r="D21" s="233"/>
      <c r="E21" s="497"/>
      <c r="F21" s="375"/>
      <c r="G21" s="247"/>
      <c r="H21" s="247"/>
      <c r="I21" s="227"/>
      <c r="J21" s="227"/>
      <c r="K21" s="227"/>
      <c r="L21" s="127" t="s">
        <v>36</v>
      </c>
      <c r="M21" s="145" t="s">
        <v>59</v>
      </c>
      <c r="N21" s="154" t="s">
        <v>60</v>
      </c>
      <c r="O21" s="154" t="s">
        <v>61</v>
      </c>
      <c r="P21" s="154" t="s">
        <v>62</v>
      </c>
      <c r="Q21" s="154" t="s">
        <v>63</v>
      </c>
      <c r="R21" s="227"/>
      <c r="S21" s="246"/>
      <c r="T21" s="164"/>
      <c r="U21" s="592"/>
      <c r="V21" s="326"/>
      <c r="W21" s="2"/>
      <c r="X21" s="1"/>
      <c r="Y21" s="1"/>
      <c r="Z21" s="1"/>
      <c r="AA21" s="1"/>
      <c r="AB21" s="1"/>
      <c r="AC21" s="1"/>
      <c r="AD21" s="1"/>
      <c r="AE21" s="1"/>
      <c r="AF21" s="1"/>
      <c r="AG21" s="5"/>
    </row>
    <row r="22" spans="1:33" ht="213.6" customHeight="1" thickBot="1" x14ac:dyDescent="0.35">
      <c r="A22" s="1"/>
      <c r="B22" s="135"/>
      <c r="C22" s="488" t="s">
        <v>64</v>
      </c>
      <c r="D22" s="488" t="s">
        <v>65</v>
      </c>
      <c r="E22" s="262" t="s">
        <v>66</v>
      </c>
      <c r="F22" s="486" t="s">
        <v>67</v>
      </c>
      <c r="G22" s="230"/>
      <c r="H22" s="271"/>
      <c r="I22" s="487">
        <v>0.05</v>
      </c>
      <c r="J22" s="271">
        <v>10</v>
      </c>
      <c r="K22" s="271" t="s">
        <v>68</v>
      </c>
      <c r="L22" s="95" t="s">
        <v>32</v>
      </c>
      <c r="M22" s="97" t="s">
        <v>69</v>
      </c>
      <c r="N22" s="97" t="s">
        <v>70</v>
      </c>
      <c r="O22" s="97" t="s">
        <v>71</v>
      </c>
      <c r="P22" s="97" t="s">
        <v>72</v>
      </c>
      <c r="Q22" s="97" t="s">
        <v>73</v>
      </c>
      <c r="R22" s="528" t="s">
        <v>74</v>
      </c>
      <c r="S22" s="528" t="s">
        <v>75</v>
      </c>
      <c r="T22" s="165"/>
      <c r="U22" s="595" t="e">
        <f>AVERAGE(T22:T24)</f>
        <v>#DIV/0!</v>
      </c>
      <c r="V22" s="594" t="e">
        <f>U22*I22</f>
        <v>#DIV/0!</v>
      </c>
      <c r="W22" s="2"/>
      <c r="X22" s="1"/>
      <c r="Y22" s="1"/>
      <c r="Z22" s="1"/>
      <c r="AA22" s="1"/>
      <c r="AB22" s="1"/>
      <c r="AC22" s="1"/>
      <c r="AD22" s="1"/>
      <c r="AE22" s="1"/>
      <c r="AF22" s="1"/>
      <c r="AG22" s="5"/>
    </row>
    <row r="23" spans="1:33" ht="51.75" thickBot="1" x14ac:dyDescent="0.35">
      <c r="A23" s="1"/>
      <c r="B23" s="135"/>
      <c r="C23" s="232"/>
      <c r="D23" s="232"/>
      <c r="E23" s="263"/>
      <c r="F23" s="331"/>
      <c r="G23" s="229"/>
      <c r="H23" s="220"/>
      <c r="I23" s="220"/>
      <c r="J23" s="220"/>
      <c r="K23" s="220"/>
      <c r="L23" s="89" t="s">
        <v>34</v>
      </c>
      <c r="M23" s="89" t="s">
        <v>76</v>
      </c>
      <c r="N23" s="89" t="s">
        <v>77</v>
      </c>
      <c r="O23" s="89" t="s">
        <v>78</v>
      </c>
      <c r="P23" s="89" t="s">
        <v>79</v>
      </c>
      <c r="Q23" s="89" t="s">
        <v>80</v>
      </c>
      <c r="R23" s="320"/>
      <c r="S23" s="320"/>
      <c r="T23" s="166"/>
      <c r="U23" s="596"/>
      <c r="V23" s="311"/>
      <c r="W23" s="2"/>
      <c r="X23" s="1"/>
      <c r="Y23" s="1"/>
      <c r="Z23" s="1"/>
      <c r="AA23" s="1"/>
      <c r="AB23" s="1"/>
      <c r="AC23" s="1"/>
      <c r="AD23" s="1"/>
      <c r="AE23" s="1"/>
      <c r="AF23" s="1"/>
      <c r="AG23" s="5"/>
    </row>
    <row r="24" spans="1:33" ht="89.45" customHeight="1" thickBot="1" x14ac:dyDescent="0.35">
      <c r="A24" s="1"/>
      <c r="B24" s="135"/>
      <c r="C24" s="233"/>
      <c r="D24" s="233"/>
      <c r="E24" s="264"/>
      <c r="F24" s="353"/>
      <c r="G24" s="267"/>
      <c r="H24" s="241"/>
      <c r="I24" s="241"/>
      <c r="J24" s="241"/>
      <c r="K24" s="241"/>
      <c r="L24" s="91" t="s">
        <v>36</v>
      </c>
      <c r="M24" s="156" t="s">
        <v>81</v>
      </c>
      <c r="N24" s="156" t="s">
        <v>82</v>
      </c>
      <c r="O24" s="156" t="s">
        <v>83</v>
      </c>
      <c r="P24" s="156" t="s">
        <v>84</v>
      </c>
      <c r="Q24" s="156" t="s">
        <v>85</v>
      </c>
      <c r="R24" s="321"/>
      <c r="S24" s="321"/>
      <c r="T24" s="166"/>
      <c r="U24" s="597"/>
      <c r="V24" s="318"/>
      <c r="W24" s="2"/>
      <c r="X24" s="1"/>
      <c r="Y24" s="1"/>
      <c r="Z24" s="1"/>
      <c r="AA24" s="1"/>
      <c r="AB24" s="1"/>
      <c r="AC24" s="1"/>
      <c r="AD24" s="1"/>
      <c r="AE24" s="1"/>
      <c r="AF24" s="1"/>
      <c r="AG24" s="5"/>
    </row>
    <row r="25" spans="1:33" ht="135" customHeight="1" thickBot="1" x14ac:dyDescent="0.35">
      <c r="A25" s="1"/>
      <c r="B25" s="135"/>
      <c r="C25" s="491" t="s">
        <v>86</v>
      </c>
      <c r="D25" s="261" t="s">
        <v>87</v>
      </c>
      <c r="E25" s="489" t="s">
        <v>88</v>
      </c>
      <c r="F25" s="477" t="s">
        <v>423</v>
      </c>
      <c r="G25" s="252"/>
      <c r="H25" s="219"/>
      <c r="I25" s="478">
        <v>0.05</v>
      </c>
      <c r="J25" s="219">
        <v>10</v>
      </c>
      <c r="K25" s="479" t="s">
        <v>424</v>
      </c>
      <c r="L25" s="87" t="s">
        <v>32</v>
      </c>
      <c r="M25" s="179" t="s">
        <v>425</v>
      </c>
      <c r="N25" s="179" t="s">
        <v>426</v>
      </c>
      <c r="O25" s="179" t="s">
        <v>427</v>
      </c>
      <c r="P25" s="179" t="s">
        <v>428</v>
      </c>
      <c r="Q25" s="179" t="s">
        <v>429</v>
      </c>
      <c r="R25" s="322" t="s">
        <v>431</v>
      </c>
      <c r="S25" s="602" t="s">
        <v>431</v>
      </c>
      <c r="T25" s="166"/>
      <c r="U25" s="605" t="e">
        <f>AVERAGE(T25:T27)</f>
        <v>#DIV/0!</v>
      </c>
      <c r="V25" s="606" t="e">
        <f>U25*I25</f>
        <v>#DIV/0!</v>
      </c>
      <c r="W25" s="2"/>
      <c r="X25" s="1"/>
      <c r="Y25" s="1"/>
      <c r="Z25" s="1"/>
      <c r="AA25" s="1"/>
      <c r="AB25" s="1"/>
      <c r="AC25" s="1"/>
      <c r="AD25" s="1"/>
      <c r="AE25" s="1"/>
      <c r="AF25" s="1"/>
      <c r="AG25" s="5"/>
    </row>
    <row r="26" spans="1:33" ht="246.6" customHeight="1" thickBot="1" x14ac:dyDescent="0.35">
      <c r="A26" s="1"/>
      <c r="B26" s="135"/>
      <c r="C26" s="372"/>
      <c r="D26" s="232"/>
      <c r="E26" s="263"/>
      <c r="F26" s="331"/>
      <c r="G26" s="229"/>
      <c r="H26" s="220"/>
      <c r="I26" s="220"/>
      <c r="J26" s="220"/>
      <c r="K26" s="220"/>
      <c r="L26" s="89" t="s">
        <v>34</v>
      </c>
      <c r="M26" s="180" t="s">
        <v>89</v>
      </c>
      <c r="N26" s="180" t="s">
        <v>451</v>
      </c>
      <c r="O26" s="180" t="s">
        <v>452</v>
      </c>
      <c r="P26" s="180" t="s">
        <v>453</v>
      </c>
      <c r="Q26" s="180" t="s">
        <v>454</v>
      </c>
      <c r="R26" s="320"/>
      <c r="S26" s="603"/>
      <c r="T26" s="166"/>
      <c r="U26" s="596"/>
      <c r="V26" s="311"/>
      <c r="W26" s="2"/>
      <c r="X26" s="1"/>
      <c r="Y26" s="1"/>
      <c r="Z26" s="1"/>
      <c r="AA26" s="1"/>
      <c r="AB26" s="1"/>
      <c r="AC26" s="1"/>
      <c r="AD26" s="1"/>
      <c r="AE26" s="1"/>
      <c r="AF26" s="1"/>
      <c r="AG26" s="5"/>
    </row>
    <row r="27" spans="1:33" ht="75.95" customHeight="1" thickBot="1" x14ac:dyDescent="0.35">
      <c r="A27" s="1"/>
      <c r="B27" s="136"/>
      <c r="C27" s="374"/>
      <c r="D27" s="233"/>
      <c r="E27" s="264"/>
      <c r="F27" s="353"/>
      <c r="G27" s="267"/>
      <c r="H27" s="241"/>
      <c r="I27" s="241"/>
      <c r="J27" s="241"/>
      <c r="K27" s="241"/>
      <c r="L27" s="91" t="s">
        <v>36</v>
      </c>
      <c r="M27" s="155" t="s">
        <v>430</v>
      </c>
      <c r="N27" s="134" t="s">
        <v>90</v>
      </c>
      <c r="O27" s="134" t="s">
        <v>91</v>
      </c>
      <c r="P27" s="134" t="s">
        <v>92</v>
      </c>
      <c r="Q27" s="134" t="s">
        <v>93</v>
      </c>
      <c r="R27" s="321"/>
      <c r="S27" s="604"/>
      <c r="T27" s="166"/>
      <c r="U27" s="597"/>
      <c r="V27" s="318"/>
      <c r="W27" s="2"/>
      <c r="X27" s="1"/>
      <c r="Y27" s="1"/>
      <c r="Z27" s="1"/>
      <c r="AA27" s="1"/>
      <c r="AB27" s="1"/>
      <c r="AC27" s="1"/>
      <c r="AD27" s="1"/>
      <c r="AE27" s="1"/>
      <c r="AF27" s="1"/>
      <c r="AG27" s="5"/>
    </row>
    <row r="28" spans="1:33" ht="24.75" hidden="1" customHeight="1" x14ac:dyDescent="0.3">
      <c r="A28" s="1"/>
      <c r="B28" s="239"/>
      <c r="C28" s="133"/>
      <c r="D28" s="133"/>
      <c r="E28" s="483"/>
      <c r="F28" s="472"/>
      <c r="G28" s="229"/>
      <c r="H28" s="482"/>
      <c r="I28" s="480"/>
      <c r="J28" s="481"/>
      <c r="K28" s="482"/>
      <c r="L28" s="95"/>
      <c r="M28" s="96" t="s">
        <v>94</v>
      </c>
      <c r="N28" s="97"/>
      <c r="O28" s="97" t="s">
        <v>95</v>
      </c>
      <c r="P28" s="97"/>
      <c r="Q28" s="97"/>
      <c r="R28" s="118"/>
      <c r="S28" s="119"/>
      <c r="T28" s="167"/>
      <c r="U28" s="598"/>
      <c r="V28" s="599"/>
      <c r="W28" s="2"/>
      <c r="X28" s="1"/>
      <c r="Y28" s="1"/>
      <c r="Z28" s="1"/>
      <c r="AA28" s="1"/>
      <c r="AB28" s="1"/>
      <c r="AC28" s="1"/>
      <c r="AD28" s="1"/>
      <c r="AE28" s="1"/>
      <c r="AF28" s="1"/>
      <c r="AG28" s="5"/>
    </row>
    <row r="29" spans="1:33" ht="24.75" hidden="1" customHeight="1" x14ac:dyDescent="0.3">
      <c r="A29" s="1"/>
      <c r="B29" s="240"/>
      <c r="C29" s="98"/>
      <c r="D29" s="98"/>
      <c r="E29" s="220"/>
      <c r="F29" s="253"/>
      <c r="G29" s="229"/>
      <c r="H29" s="220"/>
      <c r="I29" s="220"/>
      <c r="J29" s="220"/>
      <c r="K29" s="220"/>
      <c r="L29" s="89"/>
      <c r="M29" s="99"/>
      <c r="N29" s="99"/>
      <c r="O29" s="99" t="s">
        <v>96</v>
      </c>
      <c r="P29" s="99"/>
      <c r="Q29" s="99"/>
      <c r="R29" s="120"/>
      <c r="S29" s="121"/>
      <c r="T29" s="168"/>
      <c r="U29" s="320"/>
      <c r="V29" s="311"/>
      <c r="W29" s="2"/>
      <c r="X29" s="1"/>
      <c r="Y29" s="1"/>
      <c r="Z29" s="1"/>
      <c r="AA29" s="1"/>
      <c r="AB29" s="1"/>
      <c r="AC29" s="1"/>
      <c r="AD29" s="1"/>
      <c r="AE29" s="1"/>
      <c r="AF29" s="1"/>
      <c r="AG29" s="5"/>
    </row>
    <row r="30" spans="1:33" ht="24.75" hidden="1" customHeight="1" x14ac:dyDescent="0.3">
      <c r="A30" s="1"/>
      <c r="B30" s="240"/>
      <c r="C30" s="98"/>
      <c r="D30" s="98"/>
      <c r="E30" s="220"/>
      <c r="F30" s="254"/>
      <c r="G30" s="255"/>
      <c r="H30" s="221"/>
      <c r="I30" s="221"/>
      <c r="J30" s="221"/>
      <c r="K30" s="221"/>
      <c r="L30" s="89"/>
      <c r="M30" s="100" t="s">
        <v>97</v>
      </c>
      <c r="N30" s="100"/>
      <c r="O30" s="100" t="s">
        <v>98</v>
      </c>
      <c r="P30" s="100"/>
      <c r="Q30" s="100"/>
      <c r="R30" s="120"/>
      <c r="S30" s="121"/>
      <c r="T30" s="168"/>
      <c r="U30" s="323"/>
      <c r="V30" s="585"/>
      <c r="W30" s="2"/>
      <c r="X30" s="1"/>
      <c r="Y30" s="1"/>
      <c r="Z30" s="1"/>
      <c r="AA30" s="1"/>
      <c r="AB30" s="1"/>
      <c r="AC30" s="1"/>
      <c r="AD30" s="1"/>
      <c r="AE30" s="1"/>
      <c r="AF30" s="1"/>
      <c r="AG30" s="5"/>
    </row>
    <row r="31" spans="1:33" ht="24.75" hidden="1" customHeight="1" x14ac:dyDescent="0.3">
      <c r="A31" s="1"/>
      <c r="B31" s="240"/>
      <c r="C31" s="98"/>
      <c r="D31" s="98"/>
      <c r="E31" s="220"/>
      <c r="F31" s="473"/>
      <c r="G31" s="278"/>
      <c r="H31" s="471"/>
      <c r="I31" s="484"/>
      <c r="J31" s="490"/>
      <c r="K31" s="471"/>
      <c r="L31" s="101"/>
      <c r="M31" s="102"/>
      <c r="N31" s="103"/>
      <c r="O31" s="103"/>
      <c r="P31" s="103"/>
      <c r="Q31" s="103"/>
      <c r="R31" s="120"/>
      <c r="S31" s="121"/>
      <c r="T31" s="169"/>
      <c r="U31" s="583"/>
      <c r="V31" s="584"/>
      <c r="W31" s="2"/>
      <c r="X31" s="1"/>
      <c r="Y31" s="1"/>
      <c r="Z31" s="1"/>
      <c r="AA31" s="1"/>
      <c r="AB31" s="1"/>
      <c r="AC31" s="1"/>
      <c r="AD31" s="1"/>
      <c r="AE31" s="1"/>
      <c r="AF31" s="1"/>
      <c r="AG31" s="5"/>
    </row>
    <row r="32" spans="1:33" ht="24.75" hidden="1" customHeight="1" x14ac:dyDescent="0.3">
      <c r="A32" s="1"/>
      <c r="B32" s="240"/>
      <c r="C32" s="98"/>
      <c r="D32" s="98"/>
      <c r="E32" s="220"/>
      <c r="F32" s="253"/>
      <c r="G32" s="229"/>
      <c r="H32" s="220"/>
      <c r="I32" s="220"/>
      <c r="J32" s="220"/>
      <c r="K32" s="220"/>
      <c r="L32" s="89"/>
      <c r="M32" s="99" t="s">
        <v>99</v>
      </c>
      <c r="N32" s="99"/>
      <c r="O32" s="99"/>
      <c r="P32" s="99"/>
      <c r="Q32" s="99"/>
      <c r="R32" s="120"/>
      <c r="S32" s="121"/>
      <c r="T32" s="168"/>
      <c r="U32" s="320"/>
      <c r="V32" s="311"/>
      <c r="W32" s="2"/>
      <c r="X32" s="1"/>
      <c r="Y32" s="1"/>
      <c r="Z32" s="1"/>
      <c r="AA32" s="1"/>
      <c r="AB32" s="1"/>
      <c r="AC32" s="1"/>
      <c r="AD32" s="1"/>
      <c r="AE32" s="1"/>
      <c r="AF32" s="1"/>
      <c r="AG32" s="5"/>
    </row>
    <row r="33" spans="1:33" ht="24.75" hidden="1" customHeight="1" x14ac:dyDescent="0.3">
      <c r="A33" s="1"/>
      <c r="B33" s="240"/>
      <c r="C33" s="98"/>
      <c r="D33" s="98"/>
      <c r="E33" s="220"/>
      <c r="F33" s="254"/>
      <c r="G33" s="255"/>
      <c r="H33" s="221"/>
      <c r="I33" s="221"/>
      <c r="J33" s="221"/>
      <c r="K33" s="221"/>
      <c r="L33" s="89"/>
      <c r="M33" s="100"/>
      <c r="N33" s="100"/>
      <c r="O33" s="100"/>
      <c r="P33" s="100"/>
      <c r="Q33" s="100"/>
      <c r="R33" s="120"/>
      <c r="S33" s="121"/>
      <c r="T33" s="168"/>
      <c r="U33" s="323"/>
      <c r="V33" s="585"/>
      <c r="W33" s="2"/>
      <c r="X33" s="1"/>
      <c r="Y33" s="1"/>
      <c r="Z33" s="1"/>
      <c r="AA33" s="1"/>
      <c r="AB33" s="1"/>
      <c r="AC33" s="1"/>
      <c r="AD33" s="1"/>
      <c r="AE33" s="1"/>
      <c r="AF33" s="1"/>
      <c r="AG33" s="5"/>
    </row>
    <row r="34" spans="1:33" ht="24.75" hidden="1" customHeight="1" x14ac:dyDescent="0.3">
      <c r="A34" s="1"/>
      <c r="B34" s="240"/>
      <c r="C34" s="98"/>
      <c r="D34" s="98"/>
      <c r="E34" s="220"/>
      <c r="F34" s="473"/>
      <c r="G34" s="278"/>
      <c r="H34" s="471"/>
      <c r="I34" s="484"/>
      <c r="J34" s="490"/>
      <c r="K34" s="471"/>
      <c r="L34" s="101"/>
      <c r="M34" s="102" t="s">
        <v>100</v>
      </c>
      <c r="N34" s="103"/>
      <c r="O34" s="103"/>
      <c r="P34" s="103"/>
      <c r="Q34" s="103"/>
      <c r="R34" s="120"/>
      <c r="S34" s="121"/>
      <c r="T34" s="169"/>
      <c r="U34" s="583"/>
      <c r="V34" s="584"/>
      <c r="W34" s="2"/>
      <c r="X34" s="1"/>
      <c r="Y34" s="1"/>
      <c r="Z34" s="1"/>
      <c r="AA34" s="1"/>
      <c r="AB34" s="1"/>
      <c r="AC34" s="1"/>
      <c r="AD34" s="1"/>
      <c r="AE34" s="1"/>
      <c r="AF34" s="1"/>
      <c r="AG34" s="5"/>
    </row>
    <row r="35" spans="1:33" ht="24.75" hidden="1" customHeight="1" x14ac:dyDescent="0.3">
      <c r="A35" s="1"/>
      <c r="B35" s="240"/>
      <c r="C35" s="98"/>
      <c r="D35" s="98"/>
      <c r="E35" s="220"/>
      <c r="F35" s="253"/>
      <c r="G35" s="229"/>
      <c r="H35" s="220"/>
      <c r="I35" s="220"/>
      <c r="J35" s="220"/>
      <c r="K35" s="220"/>
      <c r="L35" s="89"/>
      <c r="M35" s="99"/>
      <c r="N35" s="99"/>
      <c r="O35" s="99"/>
      <c r="P35" s="99"/>
      <c r="Q35" s="99"/>
      <c r="R35" s="120"/>
      <c r="S35" s="121"/>
      <c r="T35" s="168"/>
      <c r="U35" s="320"/>
      <c r="V35" s="311"/>
      <c r="W35" s="2"/>
      <c r="X35" s="1"/>
      <c r="Y35" s="1"/>
      <c r="Z35" s="1"/>
      <c r="AA35" s="1"/>
      <c r="AB35" s="1"/>
      <c r="AC35" s="1"/>
      <c r="AD35" s="1"/>
      <c r="AE35" s="1"/>
      <c r="AF35" s="1"/>
      <c r="AG35" s="5"/>
    </row>
    <row r="36" spans="1:33" ht="24.75" hidden="1" customHeight="1" x14ac:dyDescent="0.3">
      <c r="A36" s="1"/>
      <c r="B36" s="240"/>
      <c r="C36" s="98"/>
      <c r="D36" s="98"/>
      <c r="E36" s="220"/>
      <c r="F36" s="253"/>
      <c r="G36" s="229"/>
      <c r="H36" s="220"/>
      <c r="I36" s="226"/>
      <c r="J36" s="220"/>
      <c r="K36" s="220"/>
      <c r="L36" s="104"/>
      <c r="M36" s="105"/>
      <c r="N36" s="105"/>
      <c r="O36" s="105"/>
      <c r="P36" s="105"/>
      <c r="Q36" s="105"/>
      <c r="R36" s="122"/>
      <c r="S36" s="123"/>
      <c r="T36" s="170"/>
      <c r="U36" s="314"/>
      <c r="V36" s="312"/>
      <c r="W36" s="2"/>
      <c r="X36" s="1"/>
      <c r="Y36" s="1"/>
      <c r="Z36" s="1"/>
      <c r="AA36" s="1"/>
      <c r="AB36" s="1"/>
      <c r="AC36" s="1"/>
      <c r="AD36" s="1"/>
      <c r="AE36" s="1"/>
      <c r="AF36" s="1"/>
      <c r="AG36" s="5"/>
    </row>
    <row r="37" spans="1:33" ht="63" customHeight="1" x14ac:dyDescent="0.3">
      <c r="A37" s="1"/>
      <c r="B37" s="234" t="s">
        <v>101</v>
      </c>
      <c r="C37" s="239" t="s">
        <v>102</v>
      </c>
      <c r="D37" s="219" t="s">
        <v>65</v>
      </c>
      <c r="E37" s="359" t="s">
        <v>103</v>
      </c>
      <c r="F37" s="251" t="s">
        <v>104</v>
      </c>
      <c r="G37" s="252"/>
      <c r="H37" s="256"/>
      <c r="I37" s="485">
        <v>0.03</v>
      </c>
      <c r="J37" s="219">
        <v>1</v>
      </c>
      <c r="K37" s="284" t="s">
        <v>105</v>
      </c>
      <c r="L37" s="87" t="s">
        <v>32</v>
      </c>
      <c r="M37" s="94" t="s">
        <v>106</v>
      </c>
      <c r="N37" s="94" t="s">
        <v>107</v>
      </c>
      <c r="O37" s="94" t="s">
        <v>108</v>
      </c>
      <c r="P37" s="94" t="s">
        <v>109</v>
      </c>
      <c r="Q37" s="94" t="s">
        <v>110</v>
      </c>
      <c r="R37" s="322" t="s">
        <v>111</v>
      </c>
      <c r="S37" s="322" t="s">
        <v>112</v>
      </c>
      <c r="T37" s="171"/>
      <c r="U37" s="319" t="e">
        <f>AVERAGE(T37:T39)</f>
        <v>#DIV/0!</v>
      </c>
      <c r="V37" s="310" t="e">
        <f>U37*I37</f>
        <v>#DIV/0!</v>
      </c>
      <c r="W37" s="2"/>
      <c r="X37" s="1"/>
      <c r="Y37" s="1"/>
      <c r="Z37" s="1"/>
      <c r="AA37" s="1"/>
      <c r="AB37" s="1"/>
      <c r="AC37" s="1"/>
      <c r="AD37" s="1"/>
      <c r="AE37" s="1"/>
      <c r="AF37" s="1"/>
      <c r="AG37" s="5"/>
    </row>
    <row r="38" spans="1:33" ht="30.75" customHeight="1" x14ac:dyDescent="0.3">
      <c r="A38" s="1"/>
      <c r="B38" s="235"/>
      <c r="C38" s="240"/>
      <c r="D38" s="220"/>
      <c r="E38" s="220"/>
      <c r="F38" s="253"/>
      <c r="G38" s="229"/>
      <c r="H38" s="220"/>
      <c r="I38" s="220"/>
      <c r="J38" s="220"/>
      <c r="K38" s="220"/>
      <c r="L38" s="89" t="s">
        <v>34</v>
      </c>
      <c r="M38" s="106"/>
      <c r="N38" s="106"/>
      <c r="O38" s="106"/>
      <c r="P38" s="106"/>
      <c r="Q38" s="106"/>
      <c r="R38" s="320"/>
      <c r="S38" s="320"/>
      <c r="T38" s="216"/>
      <c r="U38" s="320"/>
      <c r="V38" s="311"/>
      <c r="W38" s="2"/>
      <c r="X38" s="1"/>
      <c r="Y38" s="1"/>
      <c r="Z38" s="1"/>
      <c r="AA38" s="1"/>
      <c r="AB38" s="1"/>
      <c r="AC38" s="1"/>
      <c r="AD38" s="1"/>
      <c r="AE38" s="1"/>
      <c r="AF38" s="1"/>
      <c r="AG38" s="5"/>
    </row>
    <row r="39" spans="1:33" ht="152.44999999999999" customHeight="1" thickBot="1" x14ac:dyDescent="0.35">
      <c r="A39" s="1"/>
      <c r="B39" s="235"/>
      <c r="C39" s="242"/>
      <c r="D39" s="221"/>
      <c r="E39" s="241"/>
      <c r="F39" s="254"/>
      <c r="G39" s="255"/>
      <c r="H39" s="221"/>
      <c r="I39" s="221"/>
      <c r="J39" s="221"/>
      <c r="K39" s="221"/>
      <c r="L39" s="91" t="s">
        <v>36</v>
      </c>
      <c r="M39" s="156" t="s">
        <v>113</v>
      </c>
      <c r="N39" s="156" t="s">
        <v>114</v>
      </c>
      <c r="O39" s="156" t="s">
        <v>115</v>
      </c>
      <c r="P39" s="156" t="s">
        <v>116</v>
      </c>
      <c r="Q39" s="156" t="s">
        <v>117</v>
      </c>
      <c r="R39" s="323"/>
      <c r="S39" s="323"/>
      <c r="T39" s="173"/>
      <c r="U39" s="323"/>
      <c r="V39" s="585"/>
      <c r="W39" s="2"/>
      <c r="X39" s="1"/>
      <c r="Y39" s="1"/>
      <c r="Z39" s="1"/>
      <c r="AA39" s="1"/>
      <c r="AB39" s="1"/>
      <c r="AC39" s="1"/>
      <c r="AD39" s="1"/>
      <c r="AE39" s="1"/>
      <c r="AF39" s="1"/>
      <c r="AG39" s="5"/>
    </row>
    <row r="40" spans="1:33" ht="63.6" customHeight="1" x14ac:dyDescent="0.3">
      <c r="A40" s="1"/>
      <c r="B40" s="235"/>
      <c r="C40" s="228" t="s">
        <v>102</v>
      </c>
      <c r="D40" s="219" t="s">
        <v>65</v>
      </c>
      <c r="E40" s="359" t="s">
        <v>103</v>
      </c>
      <c r="F40" s="251" t="s">
        <v>118</v>
      </c>
      <c r="G40" s="252"/>
      <c r="H40" s="256"/>
      <c r="I40" s="485">
        <v>0.03</v>
      </c>
      <c r="J40" s="219">
        <v>1</v>
      </c>
      <c r="K40" s="284" t="s">
        <v>119</v>
      </c>
      <c r="L40" s="87" t="s">
        <v>32</v>
      </c>
      <c r="M40" s="94" t="s">
        <v>120</v>
      </c>
      <c r="N40" s="94" t="s">
        <v>121</v>
      </c>
      <c r="O40" s="94" t="s">
        <v>122</v>
      </c>
      <c r="P40" s="94" t="s">
        <v>123</v>
      </c>
      <c r="Q40" s="94" t="s">
        <v>124</v>
      </c>
      <c r="R40" s="322" t="s">
        <v>125</v>
      </c>
      <c r="S40" s="322" t="s">
        <v>126</v>
      </c>
      <c r="T40" s="171"/>
      <c r="U40" s="319" t="e">
        <f>AVERAGE(T40:T42)</f>
        <v>#DIV/0!</v>
      </c>
      <c r="V40" s="310" t="e">
        <f>U40*I40</f>
        <v>#DIV/0!</v>
      </c>
      <c r="W40" s="2"/>
      <c r="X40" s="1"/>
      <c r="Y40" s="1"/>
      <c r="Z40" s="1"/>
      <c r="AA40" s="1"/>
      <c r="AB40" s="1"/>
      <c r="AC40" s="1"/>
      <c r="AD40" s="1"/>
      <c r="AE40" s="1"/>
      <c r="AF40" s="1"/>
      <c r="AG40" s="5"/>
    </row>
    <row r="41" spans="1:33" ht="24.75" customHeight="1" x14ac:dyDescent="0.3">
      <c r="A41" s="1"/>
      <c r="B41" s="235"/>
      <c r="C41" s="229"/>
      <c r="D41" s="220"/>
      <c r="E41" s="220"/>
      <c r="F41" s="253"/>
      <c r="G41" s="229"/>
      <c r="H41" s="220"/>
      <c r="I41" s="220"/>
      <c r="J41" s="220"/>
      <c r="K41" s="220"/>
      <c r="L41" s="89" t="s">
        <v>34</v>
      </c>
      <c r="M41" s="106"/>
      <c r="N41" s="106"/>
      <c r="O41" s="106"/>
      <c r="P41" s="106"/>
      <c r="Q41" s="106"/>
      <c r="R41" s="320"/>
      <c r="S41" s="320"/>
      <c r="T41" s="216"/>
      <c r="U41" s="320"/>
      <c r="V41" s="311"/>
      <c r="W41" s="2"/>
      <c r="X41" s="1"/>
      <c r="Y41" s="1"/>
      <c r="Z41" s="1"/>
      <c r="AA41" s="1"/>
      <c r="AB41" s="1"/>
      <c r="AC41" s="1"/>
      <c r="AD41" s="1"/>
      <c r="AE41" s="1"/>
      <c r="AF41" s="1"/>
      <c r="AG41" s="5"/>
    </row>
    <row r="42" spans="1:33" ht="156" customHeight="1" thickBot="1" x14ac:dyDescent="0.35">
      <c r="A42" s="1"/>
      <c r="B42" s="235"/>
      <c r="C42" s="230"/>
      <c r="D42" s="226"/>
      <c r="E42" s="226"/>
      <c r="F42" s="245"/>
      <c r="G42" s="230"/>
      <c r="H42" s="226"/>
      <c r="I42" s="226"/>
      <c r="J42" s="226"/>
      <c r="K42" s="226"/>
      <c r="L42" s="125" t="s">
        <v>36</v>
      </c>
      <c r="M42" s="157" t="s">
        <v>127</v>
      </c>
      <c r="N42" s="157" t="s">
        <v>128</v>
      </c>
      <c r="O42" s="157" t="s">
        <v>129</v>
      </c>
      <c r="P42" s="157" t="s">
        <v>130</v>
      </c>
      <c r="Q42" s="157" t="s">
        <v>131</v>
      </c>
      <c r="R42" s="314"/>
      <c r="S42" s="314"/>
      <c r="T42" s="174"/>
      <c r="U42" s="314"/>
      <c r="V42" s="312"/>
      <c r="W42" s="2"/>
      <c r="X42" s="1"/>
      <c r="Y42" s="1"/>
      <c r="Z42" s="1"/>
      <c r="AA42" s="1"/>
      <c r="AB42" s="1"/>
      <c r="AC42" s="1"/>
      <c r="AD42" s="1"/>
      <c r="AE42" s="1"/>
      <c r="AF42" s="1"/>
      <c r="AG42" s="5"/>
    </row>
    <row r="43" spans="1:33" ht="84.6" customHeight="1" x14ac:dyDescent="0.3">
      <c r="A43" s="1"/>
      <c r="B43" s="237"/>
      <c r="C43" s="222" t="s">
        <v>102</v>
      </c>
      <c r="D43" s="257" t="s">
        <v>65</v>
      </c>
      <c r="E43" s="272" t="s">
        <v>103</v>
      </c>
      <c r="F43" s="243" t="s">
        <v>132</v>
      </c>
      <c r="G43" s="244"/>
      <c r="H43" s="248"/>
      <c r="I43" s="249">
        <v>0.04</v>
      </c>
      <c r="J43" s="225" t="s">
        <v>133</v>
      </c>
      <c r="K43" s="260" t="s">
        <v>134</v>
      </c>
      <c r="L43" s="126" t="s">
        <v>32</v>
      </c>
      <c r="M43" s="158" t="s">
        <v>135</v>
      </c>
      <c r="N43" s="158" t="s">
        <v>136</v>
      </c>
      <c r="O43" s="158" t="s">
        <v>137</v>
      </c>
      <c r="P43" s="158" t="s">
        <v>138</v>
      </c>
      <c r="Q43" s="158" t="s">
        <v>139</v>
      </c>
      <c r="R43" s="313" t="s">
        <v>140</v>
      </c>
      <c r="S43" s="313" t="s">
        <v>141</v>
      </c>
      <c r="T43" s="175"/>
      <c r="U43" s="316" t="e">
        <f>AVERAGE(T43:T45)</f>
        <v>#DIV/0!</v>
      </c>
      <c r="V43" s="324" t="e">
        <f>U43*I43</f>
        <v>#DIV/0!</v>
      </c>
      <c r="W43" s="2"/>
      <c r="X43" s="1"/>
      <c r="Y43" s="1"/>
      <c r="Z43" s="1"/>
      <c r="AA43" s="1"/>
      <c r="AB43" s="1"/>
      <c r="AC43" s="1"/>
      <c r="AD43" s="1"/>
      <c r="AE43" s="1"/>
      <c r="AF43" s="1"/>
      <c r="AG43" s="5"/>
    </row>
    <row r="44" spans="1:33" ht="80.45" customHeight="1" x14ac:dyDescent="0.3">
      <c r="A44" s="1"/>
      <c r="B44" s="237"/>
      <c r="C44" s="223"/>
      <c r="D44" s="258"/>
      <c r="E44" s="273"/>
      <c r="F44" s="245"/>
      <c r="G44" s="230"/>
      <c r="H44" s="226"/>
      <c r="I44" s="226"/>
      <c r="J44" s="226"/>
      <c r="K44" s="226"/>
      <c r="L44" s="89" t="s">
        <v>34</v>
      </c>
      <c r="M44" s="103" t="s">
        <v>142</v>
      </c>
      <c r="N44" s="103" t="s">
        <v>143</v>
      </c>
      <c r="O44" s="103" t="s">
        <v>144</v>
      </c>
      <c r="P44" s="103" t="s">
        <v>145</v>
      </c>
      <c r="Q44" s="103" t="s">
        <v>146</v>
      </c>
      <c r="R44" s="314"/>
      <c r="S44" s="314"/>
      <c r="T44" s="174"/>
      <c r="U44" s="314"/>
      <c r="V44" s="325"/>
      <c r="W44" s="2"/>
      <c r="X44" s="1"/>
      <c r="Y44" s="1"/>
      <c r="Z44" s="1"/>
      <c r="AA44" s="1"/>
      <c r="AB44" s="1"/>
      <c r="AC44" s="1"/>
      <c r="AD44" s="1"/>
      <c r="AE44" s="1"/>
      <c r="AF44" s="1"/>
      <c r="AG44" s="5"/>
    </row>
    <row r="45" spans="1:33" ht="120" customHeight="1" thickBot="1" x14ac:dyDescent="0.35">
      <c r="A45" s="1"/>
      <c r="B45" s="237"/>
      <c r="C45" s="224"/>
      <c r="D45" s="259"/>
      <c r="E45" s="274"/>
      <c r="F45" s="246"/>
      <c r="G45" s="247"/>
      <c r="H45" s="227"/>
      <c r="I45" s="227"/>
      <c r="J45" s="227"/>
      <c r="K45" s="227"/>
      <c r="L45" s="127" t="s">
        <v>36</v>
      </c>
      <c r="M45" s="159" t="s">
        <v>147</v>
      </c>
      <c r="N45" s="159" t="s">
        <v>148</v>
      </c>
      <c r="O45" s="159" t="s">
        <v>149</v>
      </c>
      <c r="P45" s="159" t="s">
        <v>149</v>
      </c>
      <c r="Q45" s="159" t="s">
        <v>150</v>
      </c>
      <c r="R45" s="315"/>
      <c r="S45" s="315"/>
      <c r="T45" s="176"/>
      <c r="U45" s="315"/>
      <c r="V45" s="326"/>
      <c r="W45" s="2"/>
      <c r="X45" s="1"/>
      <c r="Y45" s="1"/>
      <c r="Z45" s="1"/>
      <c r="AA45" s="1"/>
      <c r="AB45" s="1"/>
      <c r="AC45" s="1"/>
      <c r="AD45" s="1"/>
      <c r="AE45" s="1"/>
      <c r="AF45" s="1"/>
      <c r="AG45" s="5"/>
    </row>
    <row r="46" spans="1:33" ht="409.5" customHeight="1" x14ac:dyDescent="0.3">
      <c r="A46" s="1"/>
      <c r="B46" s="237"/>
      <c r="C46" s="231" t="s">
        <v>151</v>
      </c>
      <c r="D46" s="261" t="s">
        <v>44</v>
      </c>
      <c r="E46" s="262" t="s">
        <v>45</v>
      </c>
      <c r="F46" s="265" t="s">
        <v>152</v>
      </c>
      <c r="G46" s="230"/>
      <c r="H46" s="268"/>
      <c r="I46" s="269">
        <v>0.05</v>
      </c>
      <c r="J46" s="270">
        <v>1</v>
      </c>
      <c r="K46" s="271" t="s">
        <v>153</v>
      </c>
      <c r="L46" s="95" t="s">
        <v>32</v>
      </c>
      <c r="M46" s="160" t="s">
        <v>154</v>
      </c>
      <c r="N46" s="160" t="s">
        <v>155</v>
      </c>
      <c r="O46" s="160" t="s">
        <v>156</v>
      </c>
      <c r="P46" s="160" t="s">
        <v>157</v>
      </c>
      <c r="Q46" s="160" t="s">
        <v>158</v>
      </c>
      <c r="R46" s="607" t="s">
        <v>159</v>
      </c>
      <c r="S46" s="610" t="s">
        <v>159</v>
      </c>
      <c r="T46" s="177"/>
      <c r="U46" s="613" t="e">
        <f>AVERAGE(T46:T48)</f>
        <v>#DIV/0!</v>
      </c>
      <c r="V46" s="614" t="e">
        <f>U46*I46</f>
        <v>#DIV/0!</v>
      </c>
      <c r="W46" s="2"/>
      <c r="X46" s="1"/>
      <c r="Y46" s="1"/>
      <c r="Z46" s="1"/>
      <c r="AA46" s="1"/>
      <c r="AB46" s="1"/>
      <c r="AC46" s="1"/>
      <c r="AD46" s="1"/>
      <c r="AE46" s="1"/>
      <c r="AF46" s="1"/>
      <c r="AG46" s="5"/>
    </row>
    <row r="47" spans="1:33" ht="348.95" customHeight="1" x14ac:dyDescent="0.3">
      <c r="A47" s="1"/>
      <c r="B47" s="237"/>
      <c r="C47" s="232"/>
      <c r="D47" s="232"/>
      <c r="E47" s="263"/>
      <c r="F47" s="266"/>
      <c r="G47" s="229"/>
      <c r="H47" s="220"/>
      <c r="I47" s="220"/>
      <c r="J47" s="220"/>
      <c r="K47" s="220"/>
      <c r="L47" s="89" t="s">
        <v>34</v>
      </c>
      <c r="M47" s="161" t="s">
        <v>160</v>
      </c>
      <c r="N47" s="161" t="s">
        <v>161</v>
      </c>
      <c r="O47" s="161" t="s">
        <v>162</v>
      </c>
      <c r="P47" s="161" t="s">
        <v>163</v>
      </c>
      <c r="Q47" s="161" t="s">
        <v>164</v>
      </c>
      <c r="R47" s="608"/>
      <c r="S47" s="611"/>
      <c r="T47" s="172"/>
      <c r="U47" s="320"/>
      <c r="V47" s="311"/>
      <c r="W47" s="2"/>
      <c r="X47" s="1"/>
      <c r="Y47" s="1"/>
      <c r="Z47" s="1"/>
      <c r="AA47" s="1"/>
      <c r="AB47" s="1"/>
      <c r="AC47" s="1"/>
      <c r="AD47" s="1"/>
      <c r="AE47" s="1"/>
      <c r="AF47" s="1"/>
      <c r="AG47" s="5"/>
    </row>
    <row r="48" spans="1:33" ht="282.95" customHeight="1" thickBot="1" x14ac:dyDescent="0.35">
      <c r="A48" s="1"/>
      <c r="B48" s="238"/>
      <c r="C48" s="233"/>
      <c r="D48" s="233"/>
      <c r="E48" s="264"/>
      <c r="F48" s="238"/>
      <c r="G48" s="267"/>
      <c r="H48" s="221"/>
      <c r="I48" s="221"/>
      <c r="J48" s="241"/>
      <c r="K48" s="241"/>
      <c r="L48" s="104" t="s">
        <v>36</v>
      </c>
      <c r="M48" s="161" t="s">
        <v>165</v>
      </c>
      <c r="N48" s="161" t="s">
        <v>166</v>
      </c>
      <c r="O48" s="161" t="s">
        <v>167</v>
      </c>
      <c r="P48" s="161" t="s">
        <v>168</v>
      </c>
      <c r="Q48" s="161" t="s">
        <v>169</v>
      </c>
      <c r="R48" s="609"/>
      <c r="S48" s="612"/>
      <c r="T48" s="172"/>
      <c r="U48" s="323"/>
      <c r="V48" s="585"/>
      <c r="W48" s="2"/>
      <c r="X48" s="1"/>
      <c r="Y48" s="1"/>
      <c r="Z48" s="1"/>
      <c r="AA48" s="1"/>
      <c r="AB48" s="1"/>
      <c r="AC48" s="1"/>
      <c r="AD48" s="1"/>
      <c r="AE48" s="1"/>
      <c r="AF48" s="1"/>
      <c r="AG48" s="5"/>
    </row>
    <row r="49" spans="1:33" ht="123.6" customHeight="1" x14ac:dyDescent="0.3">
      <c r="A49" s="1"/>
      <c r="B49" s="234" t="s">
        <v>170</v>
      </c>
      <c r="C49" s="280" t="s">
        <v>102</v>
      </c>
      <c r="D49" s="271" t="s">
        <v>171</v>
      </c>
      <c r="E49" s="219" t="s">
        <v>172</v>
      </c>
      <c r="F49" s="251" t="s">
        <v>173</v>
      </c>
      <c r="G49" s="252"/>
      <c r="H49" s="219"/>
      <c r="I49" s="276">
        <v>3.7499999999999999E-2</v>
      </c>
      <c r="J49" s="219">
        <v>1</v>
      </c>
      <c r="K49" s="219" t="s">
        <v>174</v>
      </c>
      <c r="L49" s="87" t="s">
        <v>32</v>
      </c>
      <c r="M49" s="88" t="s">
        <v>175</v>
      </c>
      <c r="N49" s="88" t="s">
        <v>176</v>
      </c>
      <c r="O49" s="88" t="s">
        <v>177</v>
      </c>
      <c r="P49" s="88" t="s">
        <v>178</v>
      </c>
      <c r="Q49" s="88" t="s">
        <v>179</v>
      </c>
      <c r="R49" s="601" t="s">
        <v>180</v>
      </c>
      <c r="S49" s="601" t="s">
        <v>181</v>
      </c>
      <c r="T49" s="177"/>
      <c r="U49" s="319" t="e">
        <f>AVERAGE(T49:T51)</f>
        <v>#DIV/0!</v>
      </c>
      <c r="V49" s="310" t="e">
        <f>U49*I49</f>
        <v>#DIV/0!</v>
      </c>
      <c r="W49" s="2"/>
      <c r="X49" s="1"/>
      <c r="Y49" s="1"/>
      <c r="Z49" s="1"/>
      <c r="AA49" s="1"/>
      <c r="AB49" s="1"/>
      <c r="AC49" s="1"/>
      <c r="AD49" s="1"/>
      <c r="AE49" s="1"/>
      <c r="AF49" s="1"/>
      <c r="AG49" s="5"/>
    </row>
    <row r="50" spans="1:33" ht="121.5" customHeight="1" x14ac:dyDescent="0.3">
      <c r="A50" s="1"/>
      <c r="B50" s="235"/>
      <c r="C50" s="240"/>
      <c r="D50" s="220"/>
      <c r="E50" s="220"/>
      <c r="F50" s="253"/>
      <c r="G50" s="229"/>
      <c r="H50" s="220"/>
      <c r="I50" s="220"/>
      <c r="J50" s="220"/>
      <c r="K50" s="220"/>
      <c r="L50" s="89" t="s">
        <v>34</v>
      </c>
      <c r="M50" s="89" t="s">
        <v>182</v>
      </c>
      <c r="N50" s="89" t="s">
        <v>183</v>
      </c>
      <c r="O50" s="89" t="s">
        <v>184</v>
      </c>
      <c r="P50" s="89" t="s">
        <v>185</v>
      </c>
      <c r="Q50" s="89" t="s">
        <v>186</v>
      </c>
      <c r="R50" s="311"/>
      <c r="S50" s="311"/>
      <c r="T50" s="172"/>
      <c r="U50" s="320"/>
      <c r="V50" s="311"/>
      <c r="W50" s="2"/>
      <c r="X50" s="1"/>
      <c r="Y50" s="1"/>
      <c r="Z50" s="1"/>
      <c r="AA50" s="1"/>
      <c r="AB50" s="1"/>
      <c r="AC50" s="1"/>
      <c r="AD50" s="1"/>
      <c r="AE50" s="1"/>
      <c r="AF50" s="1"/>
      <c r="AG50" s="5"/>
    </row>
    <row r="51" spans="1:33" ht="122.45" customHeight="1" thickBot="1" x14ac:dyDescent="0.35">
      <c r="A51" s="1"/>
      <c r="B51" s="235"/>
      <c r="C51" s="240"/>
      <c r="D51" s="220"/>
      <c r="E51" s="220"/>
      <c r="F51" s="254"/>
      <c r="G51" s="255"/>
      <c r="H51" s="221"/>
      <c r="I51" s="221"/>
      <c r="J51" s="221"/>
      <c r="K51" s="221"/>
      <c r="L51" s="104" t="s">
        <v>36</v>
      </c>
      <c r="M51" s="90" t="s">
        <v>187</v>
      </c>
      <c r="N51" s="90" t="s">
        <v>188</v>
      </c>
      <c r="O51" s="90" t="s">
        <v>189</v>
      </c>
      <c r="P51" s="90" t="s">
        <v>190</v>
      </c>
      <c r="Q51" s="90" t="s">
        <v>191</v>
      </c>
      <c r="R51" s="585"/>
      <c r="S51" s="585"/>
      <c r="T51" s="178"/>
      <c r="U51" s="323"/>
      <c r="V51" s="585"/>
      <c r="W51" s="2"/>
      <c r="X51" s="1"/>
      <c r="Y51" s="1"/>
      <c r="Z51" s="1"/>
      <c r="AA51" s="1"/>
      <c r="AB51" s="1"/>
      <c r="AC51" s="1"/>
      <c r="AD51" s="1"/>
      <c r="AE51" s="1"/>
      <c r="AF51" s="1"/>
      <c r="AG51" s="5"/>
    </row>
    <row r="52" spans="1:33" ht="291" customHeight="1" x14ac:dyDescent="0.3">
      <c r="A52" s="1"/>
      <c r="B52" s="235"/>
      <c r="C52" s="239" t="s">
        <v>102</v>
      </c>
      <c r="D52" s="219" t="s">
        <v>171</v>
      </c>
      <c r="E52" s="219" t="s">
        <v>172</v>
      </c>
      <c r="F52" s="277" t="s">
        <v>192</v>
      </c>
      <c r="G52" s="278"/>
      <c r="H52" s="275"/>
      <c r="I52" s="279">
        <v>3.7499999999999999E-2</v>
      </c>
      <c r="J52" s="275">
        <v>5</v>
      </c>
      <c r="K52" s="275" t="s">
        <v>193</v>
      </c>
      <c r="L52" s="87" t="s">
        <v>32</v>
      </c>
      <c r="M52" s="181" t="s">
        <v>194</v>
      </c>
      <c r="N52" s="103" t="s">
        <v>195</v>
      </c>
      <c r="O52" s="103" t="s">
        <v>196</v>
      </c>
      <c r="P52" s="103" t="s">
        <v>197</v>
      </c>
      <c r="Q52" s="103" t="s">
        <v>198</v>
      </c>
      <c r="R52" s="317" t="s">
        <v>199</v>
      </c>
      <c r="S52" s="317" t="s">
        <v>200</v>
      </c>
      <c r="T52" s="171"/>
      <c r="U52" s="319" t="e">
        <f>AVERAGE(T52:T54)</f>
        <v>#DIV/0!</v>
      </c>
      <c r="V52" s="310" t="e">
        <f>U52*I52</f>
        <v>#DIV/0!</v>
      </c>
      <c r="W52" s="2"/>
      <c r="X52" s="1"/>
      <c r="Y52" s="1"/>
      <c r="Z52" s="1"/>
      <c r="AA52" s="1"/>
      <c r="AB52" s="1"/>
      <c r="AC52" s="1"/>
      <c r="AD52" s="1"/>
      <c r="AE52" s="1"/>
      <c r="AF52" s="1"/>
      <c r="AG52" s="5"/>
    </row>
    <row r="53" spans="1:33" ht="78.95" customHeight="1" x14ac:dyDescent="0.3">
      <c r="A53" s="1"/>
      <c r="B53" s="235"/>
      <c r="C53" s="240"/>
      <c r="D53" s="220"/>
      <c r="E53" s="220"/>
      <c r="F53" s="253"/>
      <c r="G53" s="229"/>
      <c r="H53" s="220"/>
      <c r="I53" s="220"/>
      <c r="J53" s="220"/>
      <c r="K53" s="220"/>
      <c r="L53" s="89" t="s">
        <v>34</v>
      </c>
      <c r="M53" s="90" t="s">
        <v>201</v>
      </c>
      <c r="N53" s="89" t="s">
        <v>202</v>
      </c>
      <c r="O53" s="89" t="s">
        <v>203</v>
      </c>
      <c r="P53" s="89" t="s">
        <v>204</v>
      </c>
      <c r="Q53" s="89" t="s">
        <v>179</v>
      </c>
      <c r="R53" s="311"/>
      <c r="S53" s="311"/>
      <c r="T53" s="172"/>
      <c r="U53" s="320"/>
      <c r="V53" s="311"/>
      <c r="W53" s="2"/>
      <c r="X53" s="1"/>
      <c r="Y53" s="1"/>
      <c r="Z53" s="1"/>
      <c r="AA53" s="1"/>
      <c r="AB53" s="1"/>
      <c r="AC53" s="1"/>
      <c r="AD53" s="1"/>
      <c r="AE53" s="1"/>
      <c r="AF53" s="1"/>
      <c r="AG53" s="5"/>
    </row>
    <row r="54" spans="1:33" ht="77.45" customHeight="1" x14ac:dyDescent="0.3">
      <c r="A54" s="1"/>
      <c r="B54" s="235"/>
      <c r="C54" s="240"/>
      <c r="D54" s="220"/>
      <c r="E54" s="220"/>
      <c r="F54" s="254"/>
      <c r="G54" s="255"/>
      <c r="H54" s="221"/>
      <c r="I54" s="221"/>
      <c r="J54" s="221"/>
      <c r="K54" s="221"/>
      <c r="L54" s="104" t="s">
        <v>36</v>
      </c>
      <c r="M54" s="90" t="s">
        <v>205</v>
      </c>
      <c r="N54" s="90" t="s">
        <v>206</v>
      </c>
      <c r="O54" s="90" t="s">
        <v>207</v>
      </c>
      <c r="P54" s="90" t="s">
        <v>208</v>
      </c>
      <c r="Q54" s="90" t="s">
        <v>209</v>
      </c>
      <c r="R54" s="585"/>
      <c r="S54" s="585"/>
      <c r="T54" s="178"/>
      <c r="U54" s="323"/>
      <c r="V54" s="585"/>
      <c r="W54" s="2"/>
      <c r="X54" s="1"/>
      <c r="Y54" s="1"/>
      <c r="Z54" s="1"/>
      <c r="AA54" s="1"/>
      <c r="AB54" s="1"/>
      <c r="AC54" s="1"/>
      <c r="AD54" s="1"/>
      <c r="AE54" s="1"/>
      <c r="AF54" s="1"/>
      <c r="AG54" s="5"/>
    </row>
    <row r="55" spans="1:33" ht="60" customHeight="1" x14ac:dyDescent="0.3">
      <c r="A55" s="1"/>
      <c r="B55" s="235"/>
      <c r="C55" s="239" t="s">
        <v>102</v>
      </c>
      <c r="D55" s="219" t="s">
        <v>171</v>
      </c>
      <c r="E55" s="219" t="s">
        <v>172</v>
      </c>
      <c r="F55" s="277" t="s">
        <v>210</v>
      </c>
      <c r="G55" s="278"/>
      <c r="H55" s="275"/>
      <c r="I55" s="279">
        <v>3.7499999999999999E-2</v>
      </c>
      <c r="J55" s="275">
        <v>2</v>
      </c>
      <c r="K55" s="275" t="s">
        <v>432</v>
      </c>
      <c r="L55" s="87" t="s">
        <v>32</v>
      </c>
      <c r="M55" s="90" t="s">
        <v>433</v>
      </c>
      <c r="N55" s="90" t="s">
        <v>434</v>
      </c>
      <c r="O55" s="90" t="s">
        <v>435</v>
      </c>
      <c r="P55" s="90" t="s">
        <v>436</v>
      </c>
      <c r="Q55" s="90" t="s">
        <v>437</v>
      </c>
      <c r="R55" s="317" t="s">
        <v>211</v>
      </c>
      <c r="S55" s="317" t="s">
        <v>212</v>
      </c>
      <c r="T55" s="171"/>
      <c r="U55" s="319" t="e">
        <f>AVERAGE(T55:T57)</f>
        <v>#DIV/0!</v>
      </c>
      <c r="V55" s="310" t="e">
        <f>U55*I55</f>
        <v>#DIV/0!</v>
      </c>
      <c r="W55" s="2"/>
      <c r="X55" s="1"/>
      <c r="Y55" s="1"/>
      <c r="Z55" s="1"/>
      <c r="AA55" s="1"/>
      <c r="AB55" s="1"/>
      <c r="AC55" s="1"/>
      <c r="AD55" s="1"/>
      <c r="AE55" s="1"/>
      <c r="AF55" s="1"/>
      <c r="AG55" s="5"/>
    </row>
    <row r="56" spans="1:33" ht="81.95" customHeight="1" x14ac:dyDescent="0.3">
      <c r="A56" s="1"/>
      <c r="B56" s="235"/>
      <c r="C56" s="240"/>
      <c r="D56" s="220"/>
      <c r="E56" s="220"/>
      <c r="F56" s="253"/>
      <c r="G56" s="229"/>
      <c r="H56" s="220"/>
      <c r="I56" s="220"/>
      <c r="J56" s="220"/>
      <c r="K56" s="220"/>
      <c r="L56" s="89" t="s">
        <v>34</v>
      </c>
      <c r="M56" s="90" t="s">
        <v>201</v>
      </c>
      <c r="N56" s="89" t="s">
        <v>202</v>
      </c>
      <c r="O56" s="89" t="s">
        <v>203</v>
      </c>
      <c r="P56" s="89" t="s">
        <v>204</v>
      </c>
      <c r="Q56" s="89" t="s">
        <v>179</v>
      </c>
      <c r="R56" s="311"/>
      <c r="S56" s="311"/>
      <c r="T56" s="172"/>
      <c r="U56" s="320"/>
      <c r="V56" s="311"/>
      <c r="W56" s="2"/>
      <c r="X56" s="1"/>
      <c r="Y56" s="1"/>
      <c r="Z56" s="1"/>
      <c r="AA56" s="1"/>
      <c r="AB56" s="1"/>
      <c r="AC56" s="1"/>
      <c r="AD56" s="1"/>
      <c r="AE56" s="1"/>
      <c r="AF56" s="1"/>
      <c r="AG56" s="5"/>
    </row>
    <row r="57" spans="1:33" ht="102.95" customHeight="1" thickBot="1" x14ac:dyDescent="0.35">
      <c r="A57" s="1"/>
      <c r="B57" s="235"/>
      <c r="C57" s="240"/>
      <c r="D57" s="220"/>
      <c r="E57" s="220"/>
      <c r="F57" s="254"/>
      <c r="G57" s="255"/>
      <c r="H57" s="221"/>
      <c r="I57" s="221"/>
      <c r="J57" s="221"/>
      <c r="K57" s="221"/>
      <c r="L57" s="104" t="s">
        <v>36</v>
      </c>
      <c r="M57" s="90" t="s">
        <v>187</v>
      </c>
      <c r="N57" s="90" t="s">
        <v>188</v>
      </c>
      <c r="O57" s="90" t="s">
        <v>189</v>
      </c>
      <c r="P57" s="90" t="s">
        <v>190</v>
      </c>
      <c r="Q57" s="90" t="s">
        <v>191</v>
      </c>
      <c r="R57" s="585"/>
      <c r="S57" s="585"/>
      <c r="T57" s="178"/>
      <c r="U57" s="323"/>
      <c r="V57" s="585"/>
      <c r="W57" s="2"/>
      <c r="X57" s="1"/>
      <c r="Y57" s="1"/>
      <c r="Z57" s="1"/>
      <c r="AA57" s="1"/>
      <c r="AB57" s="1"/>
      <c r="AC57" s="1"/>
      <c r="AD57" s="1"/>
      <c r="AE57" s="1"/>
      <c r="AF57" s="1"/>
      <c r="AG57" s="5"/>
    </row>
    <row r="58" spans="1:33" ht="105" customHeight="1" x14ac:dyDescent="0.35">
      <c r="A58" s="1"/>
      <c r="B58" s="235"/>
      <c r="C58" s="239" t="s">
        <v>102</v>
      </c>
      <c r="D58" s="219" t="s">
        <v>171</v>
      </c>
      <c r="E58" s="219" t="s">
        <v>172</v>
      </c>
      <c r="F58" s="277" t="s">
        <v>213</v>
      </c>
      <c r="G58" s="278"/>
      <c r="H58" s="275"/>
      <c r="I58" s="279">
        <v>3.7499999999999999E-2</v>
      </c>
      <c r="J58" s="275">
        <v>1</v>
      </c>
      <c r="K58" s="275" t="s">
        <v>214</v>
      </c>
      <c r="L58" s="107" t="s">
        <v>32</v>
      </c>
      <c r="M58" s="108" t="s">
        <v>215</v>
      </c>
      <c r="N58" s="109" t="s">
        <v>216</v>
      </c>
      <c r="O58" s="109" t="s">
        <v>217</v>
      </c>
      <c r="P58" s="89" t="s">
        <v>218</v>
      </c>
      <c r="Q58" s="89" t="s">
        <v>219</v>
      </c>
      <c r="R58" s="317" t="s">
        <v>220</v>
      </c>
      <c r="S58" s="317" t="s">
        <v>221</v>
      </c>
      <c r="T58" s="171"/>
      <c r="U58" s="319" t="e">
        <f>AVERAGE(T58:T60)</f>
        <v>#DIV/0!</v>
      </c>
      <c r="V58" s="310" t="e">
        <f>U58*I58</f>
        <v>#DIV/0!</v>
      </c>
      <c r="W58" s="2"/>
      <c r="X58" s="1"/>
      <c r="Y58" s="1"/>
      <c r="Z58" s="1"/>
      <c r="AA58" s="1"/>
      <c r="AB58" s="1"/>
      <c r="AC58" s="1"/>
      <c r="AD58" s="1"/>
      <c r="AE58" s="1"/>
      <c r="AF58" s="1"/>
      <c r="AG58" s="5"/>
    </row>
    <row r="59" spans="1:33" ht="93.6" customHeight="1" x14ac:dyDescent="0.3">
      <c r="A59" s="1"/>
      <c r="B59" s="235"/>
      <c r="C59" s="240"/>
      <c r="D59" s="220"/>
      <c r="E59" s="220"/>
      <c r="F59" s="253"/>
      <c r="G59" s="229"/>
      <c r="H59" s="220"/>
      <c r="I59" s="220"/>
      <c r="J59" s="220"/>
      <c r="K59" s="220"/>
      <c r="L59" s="110" t="s">
        <v>34</v>
      </c>
      <c r="M59" s="89" t="s">
        <v>182</v>
      </c>
      <c r="N59" s="89" t="s">
        <v>183</v>
      </c>
      <c r="O59" s="89" t="s">
        <v>184</v>
      </c>
      <c r="P59" s="89" t="s">
        <v>185</v>
      </c>
      <c r="Q59" s="89" t="s">
        <v>186</v>
      </c>
      <c r="R59" s="311"/>
      <c r="S59" s="311"/>
      <c r="T59" s="172"/>
      <c r="U59" s="320"/>
      <c r="V59" s="311"/>
      <c r="W59" s="2"/>
      <c r="X59" s="1"/>
      <c r="Y59" s="1"/>
      <c r="Z59" s="1"/>
      <c r="AA59" s="1"/>
      <c r="AB59" s="1"/>
      <c r="AC59" s="1"/>
      <c r="AD59" s="1"/>
      <c r="AE59" s="1"/>
      <c r="AF59" s="1"/>
      <c r="AG59" s="5"/>
    </row>
    <row r="60" spans="1:33" ht="116.45" customHeight="1" thickBot="1" x14ac:dyDescent="0.35">
      <c r="A60" s="1"/>
      <c r="B60" s="236"/>
      <c r="C60" s="240"/>
      <c r="D60" s="220"/>
      <c r="E60" s="220"/>
      <c r="F60" s="287"/>
      <c r="G60" s="267"/>
      <c r="H60" s="241"/>
      <c r="I60" s="241"/>
      <c r="J60" s="241"/>
      <c r="K60" s="241"/>
      <c r="L60" s="111" t="s">
        <v>36</v>
      </c>
      <c r="M60" s="92" t="s">
        <v>187</v>
      </c>
      <c r="N60" s="92" t="s">
        <v>188</v>
      </c>
      <c r="O60" s="92" t="s">
        <v>189</v>
      </c>
      <c r="P60" s="92" t="s">
        <v>190</v>
      </c>
      <c r="Q60" s="92" t="s">
        <v>191</v>
      </c>
      <c r="R60" s="318"/>
      <c r="S60" s="318"/>
      <c r="T60" s="178"/>
      <c r="U60" s="321"/>
      <c r="V60" s="318"/>
      <c r="W60" s="2"/>
      <c r="X60" s="1"/>
      <c r="Y60" s="1"/>
      <c r="Z60" s="1"/>
      <c r="AA60" s="1"/>
      <c r="AB60" s="1"/>
      <c r="AC60" s="1"/>
      <c r="AD60" s="1"/>
      <c r="AE60" s="1"/>
      <c r="AF60" s="1"/>
      <c r="AG60" s="5"/>
    </row>
    <row r="61" spans="1:33" ht="234.6" customHeight="1" x14ac:dyDescent="0.3">
      <c r="A61" s="1"/>
      <c r="B61" s="234" t="s">
        <v>222</v>
      </c>
      <c r="C61" s="219" t="s">
        <v>27</v>
      </c>
      <c r="D61" s="219" t="s">
        <v>32</v>
      </c>
      <c r="E61" s="219" t="s">
        <v>223</v>
      </c>
      <c r="F61" s="251" t="s">
        <v>224</v>
      </c>
      <c r="G61" s="252"/>
      <c r="H61" s="256"/>
      <c r="I61" s="250">
        <v>0.03</v>
      </c>
      <c r="J61" s="219">
        <v>5</v>
      </c>
      <c r="K61" s="219" t="s">
        <v>225</v>
      </c>
      <c r="L61" s="107" t="s">
        <v>32</v>
      </c>
      <c r="M61" s="94" t="s">
        <v>226</v>
      </c>
      <c r="N61" s="94" t="s">
        <v>227</v>
      </c>
      <c r="O61" s="94" t="s">
        <v>228</v>
      </c>
      <c r="P61" s="94" t="s">
        <v>229</v>
      </c>
      <c r="Q61" s="94" t="s">
        <v>230</v>
      </c>
      <c r="R61" s="322" t="s">
        <v>231</v>
      </c>
      <c r="S61" s="322" t="s">
        <v>231</v>
      </c>
      <c r="T61" s="171"/>
      <c r="U61" s="319" t="e">
        <f>AVERAGE(T61:T63)</f>
        <v>#DIV/0!</v>
      </c>
      <c r="V61" s="310" t="e">
        <f>U61*I61</f>
        <v>#DIV/0!</v>
      </c>
      <c r="W61" s="2"/>
      <c r="X61" s="1"/>
      <c r="Y61" s="1"/>
      <c r="Z61" s="1"/>
      <c r="AA61" s="1"/>
      <c r="AB61" s="1"/>
      <c r="AC61" s="1"/>
      <c r="AD61" s="1"/>
      <c r="AE61" s="1"/>
      <c r="AF61" s="1"/>
      <c r="AG61" s="5"/>
    </row>
    <row r="62" spans="1:33" ht="150" customHeight="1" x14ac:dyDescent="0.3">
      <c r="A62" s="1"/>
      <c r="B62" s="235"/>
      <c r="C62" s="220"/>
      <c r="D62" s="220"/>
      <c r="E62" s="220"/>
      <c r="F62" s="253"/>
      <c r="G62" s="229"/>
      <c r="H62" s="220"/>
      <c r="I62" s="220"/>
      <c r="J62" s="220"/>
      <c r="K62" s="220"/>
      <c r="L62" s="110" t="s">
        <v>34</v>
      </c>
      <c r="M62" s="103" t="s">
        <v>486</v>
      </c>
      <c r="N62" s="103" t="s">
        <v>232</v>
      </c>
      <c r="O62" s="103" t="s">
        <v>233</v>
      </c>
      <c r="P62" s="103" t="s">
        <v>234</v>
      </c>
      <c r="Q62" s="182" t="s">
        <v>235</v>
      </c>
      <c r="R62" s="320"/>
      <c r="S62" s="320"/>
      <c r="T62" s="172"/>
      <c r="U62" s="320"/>
      <c r="V62" s="311"/>
      <c r="W62" s="2"/>
      <c r="X62" s="1"/>
      <c r="Y62" s="1"/>
      <c r="Z62" s="1"/>
      <c r="AA62" s="1"/>
      <c r="AB62" s="1"/>
      <c r="AC62" s="1"/>
      <c r="AD62" s="1"/>
      <c r="AE62" s="1"/>
      <c r="AF62" s="1"/>
      <c r="AG62" s="5"/>
    </row>
    <row r="63" spans="1:33" ht="189.6" customHeight="1" thickBot="1" x14ac:dyDescent="0.35">
      <c r="A63" s="1"/>
      <c r="B63" s="235"/>
      <c r="C63" s="221"/>
      <c r="D63" s="221"/>
      <c r="E63" s="221"/>
      <c r="F63" s="254"/>
      <c r="G63" s="255"/>
      <c r="H63" s="221"/>
      <c r="I63" s="221"/>
      <c r="J63" s="221"/>
      <c r="K63" s="221"/>
      <c r="L63" s="111" t="s">
        <v>36</v>
      </c>
      <c r="M63" s="156" t="s">
        <v>236</v>
      </c>
      <c r="N63" s="156" t="s">
        <v>237</v>
      </c>
      <c r="O63" s="156" t="s">
        <v>238</v>
      </c>
      <c r="P63" s="156" t="s">
        <v>239</v>
      </c>
      <c r="Q63" s="156" t="s">
        <v>240</v>
      </c>
      <c r="R63" s="323"/>
      <c r="S63" s="323"/>
      <c r="T63" s="178"/>
      <c r="U63" s="321"/>
      <c r="V63" s="318"/>
      <c r="W63" s="2"/>
      <c r="X63" s="1"/>
      <c r="Y63" s="1"/>
      <c r="Z63" s="1"/>
      <c r="AA63" s="1"/>
      <c r="AB63" s="1"/>
      <c r="AC63" s="1"/>
      <c r="AD63" s="1"/>
      <c r="AE63" s="1"/>
      <c r="AF63" s="1"/>
      <c r="AG63" s="5"/>
    </row>
    <row r="64" spans="1:33" ht="111.95" customHeight="1" x14ac:dyDescent="0.3">
      <c r="A64" s="1"/>
      <c r="B64" s="235"/>
      <c r="C64" s="219" t="s">
        <v>27</v>
      </c>
      <c r="D64" s="219" t="s">
        <v>32</v>
      </c>
      <c r="E64" s="219" t="s">
        <v>223</v>
      </c>
      <c r="F64" s="251" t="s">
        <v>241</v>
      </c>
      <c r="G64" s="252"/>
      <c r="H64" s="256"/>
      <c r="I64" s="250">
        <v>0.03</v>
      </c>
      <c r="J64" s="219" t="s">
        <v>242</v>
      </c>
      <c r="K64" s="219" t="s">
        <v>243</v>
      </c>
      <c r="L64" s="107" t="s">
        <v>32</v>
      </c>
      <c r="M64" s="93" t="s">
        <v>244</v>
      </c>
      <c r="N64" s="112"/>
      <c r="O64" s="112"/>
      <c r="P64" s="112"/>
      <c r="Q64" s="93" t="s">
        <v>245</v>
      </c>
      <c r="R64" s="322" t="s">
        <v>246</v>
      </c>
      <c r="S64" s="322" t="s">
        <v>246</v>
      </c>
      <c r="T64" s="171"/>
      <c r="U64" s="319" t="e">
        <f>AVERAGE(T64:T66)</f>
        <v>#DIV/0!</v>
      </c>
      <c r="V64" s="310" t="e">
        <f>U64*I64</f>
        <v>#DIV/0!</v>
      </c>
      <c r="W64" s="2"/>
      <c r="X64" s="1"/>
      <c r="Y64" s="1"/>
      <c r="Z64" s="1"/>
      <c r="AA64" s="1"/>
      <c r="AB64" s="1"/>
      <c r="AC64" s="1"/>
      <c r="AD64" s="1"/>
      <c r="AE64" s="1"/>
      <c r="AF64" s="1"/>
      <c r="AG64" s="5"/>
    </row>
    <row r="65" spans="1:33" ht="126.95" customHeight="1" x14ac:dyDescent="0.3">
      <c r="A65" s="1"/>
      <c r="B65" s="235"/>
      <c r="C65" s="220"/>
      <c r="D65" s="220"/>
      <c r="E65" s="220"/>
      <c r="F65" s="253"/>
      <c r="G65" s="229"/>
      <c r="H65" s="220"/>
      <c r="I65" s="220"/>
      <c r="J65" s="220"/>
      <c r="K65" s="220"/>
      <c r="L65" s="110" t="s">
        <v>34</v>
      </c>
      <c r="M65" s="89" t="s">
        <v>247</v>
      </c>
      <c r="N65" s="89" t="s">
        <v>248</v>
      </c>
      <c r="O65" s="89" t="s">
        <v>249</v>
      </c>
      <c r="P65" s="89" t="s">
        <v>250</v>
      </c>
      <c r="Q65" s="89" t="s">
        <v>251</v>
      </c>
      <c r="R65" s="320"/>
      <c r="S65" s="320"/>
      <c r="T65" s="172"/>
      <c r="U65" s="320"/>
      <c r="V65" s="311"/>
      <c r="W65" s="2"/>
      <c r="X65" s="1"/>
      <c r="Y65" s="1"/>
      <c r="Z65" s="1"/>
      <c r="AA65" s="1"/>
      <c r="AB65" s="1"/>
      <c r="AC65" s="1"/>
      <c r="AD65" s="1"/>
      <c r="AE65" s="1"/>
      <c r="AF65" s="1"/>
      <c r="AG65" s="5"/>
    </row>
    <row r="66" spans="1:33" ht="150" customHeight="1" x14ac:dyDescent="0.3">
      <c r="A66" s="1"/>
      <c r="B66" s="235"/>
      <c r="C66" s="221"/>
      <c r="D66" s="221"/>
      <c r="E66" s="221"/>
      <c r="F66" s="254"/>
      <c r="G66" s="255"/>
      <c r="H66" s="221"/>
      <c r="I66" s="221"/>
      <c r="J66" s="221"/>
      <c r="K66" s="221"/>
      <c r="L66" s="111" t="s">
        <v>36</v>
      </c>
      <c r="M66" s="91" t="s">
        <v>252</v>
      </c>
      <c r="N66" s="91" t="s">
        <v>253</v>
      </c>
      <c r="O66" s="91" t="s">
        <v>254</v>
      </c>
      <c r="P66" s="91" t="s">
        <v>255</v>
      </c>
      <c r="Q66" s="91" t="s">
        <v>256</v>
      </c>
      <c r="R66" s="321"/>
      <c r="S66" s="323"/>
      <c r="T66" s="178"/>
      <c r="U66" s="321"/>
      <c r="V66" s="318"/>
      <c r="W66" s="2"/>
      <c r="X66" s="1"/>
      <c r="Y66" s="1"/>
      <c r="Z66" s="1"/>
      <c r="AA66" s="1"/>
      <c r="AB66" s="1"/>
      <c r="AC66" s="1"/>
      <c r="AD66" s="1"/>
      <c r="AE66" s="1"/>
      <c r="AF66" s="1"/>
      <c r="AG66" s="5"/>
    </row>
    <row r="67" spans="1:33" ht="90.6" customHeight="1" x14ac:dyDescent="0.3">
      <c r="A67" s="1"/>
      <c r="B67" s="235"/>
      <c r="C67" s="219" t="s">
        <v>27</v>
      </c>
      <c r="D67" s="219" t="s">
        <v>32</v>
      </c>
      <c r="E67" s="219" t="s">
        <v>223</v>
      </c>
      <c r="F67" s="251" t="s">
        <v>257</v>
      </c>
      <c r="G67" s="252"/>
      <c r="H67" s="256"/>
      <c r="I67" s="250">
        <v>0.03</v>
      </c>
      <c r="J67" s="219" t="s">
        <v>258</v>
      </c>
      <c r="K67" s="219" t="s">
        <v>259</v>
      </c>
      <c r="L67" s="107" t="s">
        <v>32</v>
      </c>
      <c r="M67" s="93" t="s">
        <v>410</v>
      </c>
      <c r="N67" s="93" t="s">
        <v>411</v>
      </c>
      <c r="O67" s="93" t="s">
        <v>412</v>
      </c>
      <c r="P67" s="93" t="s">
        <v>413</v>
      </c>
      <c r="Q67" s="93" t="s">
        <v>240</v>
      </c>
      <c r="R67" s="322" t="s">
        <v>260</v>
      </c>
      <c r="S67" s="327" t="s">
        <v>259</v>
      </c>
      <c r="T67" s="171"/>
      <c r="U67" s="319" t="e">
        <f>AVERAGE(T67:T69)</f>
        <v>#DIV/0!</v>
      </c>
      <c r="V67" s="310" t="e">
        <f>U67*I67</f>
        <v>#DIV/0!</v>
      </c>
      <c r="W67" s="2"/>
      <c r="X67" s="1"/>
      <c r="Y67" s="1"/>
      <c r="Z67" s="1"/>
      <c r="AA67" s="1"/>
      <c r="AB67" s="1"/>
      <c r="AC67" s="1"/>
      <c r="AD67" s="1"/>
      <c r="AE67" s="1"/>
      <c r="AF67" s="1"/>
      <c r="AG67" s="5"/>
    </row>
    <row r="68" spans="1:33" ht="24.75" customHeight="1" x14ac:dyDescent="0.3">
      <c r="A68" s="1"/>
      <c r="B68" s="235"/>
      <c r="C68" s="220"/>
      <c r="D68" s="220"/>
      <c r="E68" s="220"/>
      <c r="F68" s="253"/>
      <c r="G68" s="229"/>
      <c r="H68" s="220"/>
      <c r="I68" s="220"/>
      <c r="J68" s="220"/>
      <c r="K68" s="220"/>
      <c r="L68" s="110" t="s">
        <v>34</v>
      </c>
      <c r="M68" s="217"/>
      <c r="N68" s="217"/>
      <c r="O68" s="217"/>
      <c r="P68" s="217"/>
      <c r="Q68" s="217"/>
      <c r="R68" s="320"/>
      <c r="S68" s="320"/>
      <c r="T68" s="216"/>
      <c r="U68" s="320"/>
      <c r="V68" s="311"/>
      <c r="W68" s="2"/>
      <c r="X68" s="1"/>
      <c r="Y68" s="1"/>
      <c r="Z68" s="1"/>
      <c r="AA68" s="1"/>
      <c r="AB68" s="1"/>
      <c r="AC68" s="1"/>
      <c r="AD68" s="1"/>
      <c r="AE68" s="1"/>
      <c r="AF68" s="1"/>
      <c r="AG68" s="5"/>
    </row>
    <row r="69" spans="1:33" ht="114.95" customHeight="1" x14ac:dyDescent="0.3">
      <c r="A69" s="1"/>
      <c r="B69" s="235"/>
      <c r="C69" s="221"/>
      <c r="D69" s="221"/>
      <c r="E69" s="241"/>
      <c r="F69" s="287"/>
      <c r="G69" s="267"/>
      <c r="H69" s="221"/>
      <c r="I69" s="241"/>
      <c r="J69" s="241"/>
      <c r="K69" s="241"/>
      <c r="L69" s="111" t="s">
        <v>36</v>
      </c>
      <c r="M69" s="91" t="s">
        <v>414</v>
      </c>
      <c r="N69" s="91" t="s">
        <v>415</v>
      </c>
      <c r="O69" s="91" t="s">
        <v>416</v>
      </c>
      <c r="P69" s="91" t="s">
        <v>417</v>
      </c>
      <c r="Q69" s="91" t="s">
        <v>240</v>
      </c>
      <c r="R69" s="321"/>
      <c r="S69" s="321"/>
      <c r="T69" s="178"/>
      <c r="U69" s="321"/>
      <c r="V69" s="318"/>
      <c r="W69" s="2"/>
      <c r="X69" s="1"/>
      <c r="Y69" s="1"/>
      <c r="Z69" s="1"/>
      <c r="AA69" s="1"/>
      <c r="AB69" s="1"/>
      <c r="AC69" s="1"/>
      <c r="AD69" s="1"/>
      <c r="AE69" s="1"/>
      <c r="AF69" s="1"/>
      <c r="AG69" s="5"/>
    </row>
    <row r="70" spans="1:33" ht="122.45" customHeight="1" x14ac:dyDescent="0.3">
      <c r="A70" s="1"/>
      <c r="B70" s="235"/>
      <c r="C70" s="219" t="s">
        <v>27</v>
      </c>
      <c r="D70" s="219" t="s">
        <v>32</v>
      </c>
      <c r="E70" s="219" t="s">
        <v>261</v>
      </c>
      <c r="F70" s="251" t="s">
        <v>262</v>
      </c>
      <c r="G70" s="252"/>
      <c r="H70" s="256"/>
      <c r="I70" s="250">
        <v>0.03</v>
      </c>
      <c r="J70" s="219">
        <v>1</v>
      </c>
      <c r="K70" s="219" t="s">
        <v>263</v>
      </c>
      <c r="L70" s="107" t="s">
        <v>32</v>
      </c>
      <c r="M70" s="93" t="s">
        <v>264</v>
      </c>
      <c r="N70" s="93" t="s">
        <v>265</v>
      </c>
      <c r="O70" s="93" t="s">
        <v>266</v>
      </c>
      <c r="P70" s="93" t="s">
        <v>267</v>
      </c>
      <c r="Q70" s="93" t="s">
        <v>268</v>
      </c>
      <c r="R70" s="322" t="s">
        <v>418</v>
      </c>
      <c r="S70" s="327" t="s">
        <v>419</v>
      </c>
      <c r="T70" s="171"/>
      <c r="U70" s="319" t="e">
        <f>AVERAGE(T70:T72)</f>
        <v>#DIV/0!</v>
      </c>
      <c r="V70" s="310" t="e">
        <f>U70*I70</f>
        <v>#DIV/0!</v>
      </c>
      <c r="W70" s="2"/>
      <c r="X70" s="1"/>
      <c r="Y70" s="1"/>
      <c r="Z70" s="1"/>
      <c r="AA70" s="1"/>
      <c r="AB70" s="1"/>
      <c r="AC70" s="1"/>
      <c r="AD70" s="1"/>
      <c r="AE70" s="1"/>
      <c r="AF70" s="1"/>
      <c r="AG70" s="5"/>
    </row>
    <row r="71" spans="1:33" ht="24.75" customHeight="1" x14ac:dyDescent="0.3">
      <c r="A71" s="1"/>
      <c r="B71" s="235"/>
      <c r="C71" s="220"/>
      <c r="D71" s="220"/>
      <c r="E71" s="220"/>
      <c r="F71" s="253"/>
      <c r="G71" s="229"/>
      <c r="H71" s="220"/>
      <c r="I71" s="220"/>
      <c r="J71" s="220"/>
      <c r="K71" s="220"/>
      <c r="L71" s="110" t="s">
        <v>34</v>
      </c>
      <c r="M71" s="106"/>
      <c r="N71" s="106"/>
      <c r="O71" s="106"/>
      <c r="P71" s="106"/>
      <c r="Q71" s="106"/>
      <c r="R71" s="320"/>
      <c r="S71" s="320"/>
      <c r="T71" s="216"/>
      <c r="U71" s="320"/>
      <c r="V71" s="311"/>
      <c r="W71" s="2"/>
      <c r="X71" s="1"/>
      <c r="Y71" s="1"/>
      <c r="Z71" s="1"/>
      <c r="AA71" s="1"/>
      <c r="AB71" s="1"/>
      <c r="AC71" s="1"/>
      <c r="AD71" s="1"/>
      <c r="AE71" s="1"/>
      <c r="AF71" s="1"/>
      <c r="AG71" s="5"/>
    </row>
    <row r="72" spans="1:33" ht="133.5" customHeight="1" thickBot="1" x14ac:dyDescent="0.35">
      <c r="A72" s="1"/>
      <c r="B72" s="235"/>
      <c r="C72" s="226"/>
      <c r="D72" s="226"/>
      <c r="E72" s="226"/>
      <c r="F72" s="245"/>
      <c r="G72" s="230"/>
      <c r="H72" s="226"/>
      <c r="I72" s="226"/>
      <c r="J72" s="226"/>
      <c r="K72" s="226"/>
      <c r="L72" s="128" t="s">
        <v>36</v>
      </c>
      <c r="M72" s="125" t="s">
        <v>444</v>
      </c>
      <c r="N72" s="125" t="s">
        <v>445</v>
      </c>
      <c r="O72" s="125" t="s">
        <v>446</v>
      </c>
      <c r="P72" s="125" t="s">
        <v>447</v>
      </c>
      <c r="Q72" s="125" t="s">
        <v>240</v>
      </c>
      <c r="R72" s="314"/>
      <c r="S72" s="314"/>
      <c r="T72" s="174"/>
      <c r="U72" s="314"/>
      <c r="V72" s="312"/>
      <c r="W72" s="2"/>
      <c r="X72" s="1"/>
      <c r="Y72" s="1"/>
      <c r="Z72" s="1"/>
      <c r="AA72" s="1"/>
      <c r="AB72" s="1"/>
      <c r="AC72" s="1"/>
      <c r="AD72" s="1"/>
      <c r="AE72" s="1"/>
      <c r="AF72" s="1"/>
      <c r="AG72" s="5"/>
    </row>
    <row r="73" spans="1:33" ht="91.5" customHeight="1" thickBot="1" x14ac:dyDescent="0.35">
      <c r="A73" s="1"/>
      <c r="B73" s="237"/>
      <c r="C73" s="222" t="s">
        <v>269</v>
      </c>
      <c r="D73" s="225" t="s">
        <v>270</v>
      </c>
      <c r="E73" s="225" t="s">
        <v>271</v>
      </c>
      <c r="F73" s="243" t="s">
        <v>272</v>
      </c>
      <c r="G73" s="244"/>
      <c r="H73" s="248"/>
      <c r="I73" s="249">
        <v>0.03</v>
      </c>
      <c r="J73" s="225">
        <v>4</v>
      </c>
      <c r="K73" s="225" t="s">
        <v>273</v>
      </c>
      <c r="L73" s="129" t="s">
        <v>32</v>
      </c>
      <c r="M73" s="130" t="s">
        <v>440</v>
      </c>
      <c r="N73" s="130" t="s">
        <v>441</v>
      </c>
      <c r="O73" s="130" t="s">
        <v>442</v>
      </c>
      <c r="P73" s="130" t="s">
        <v>443</v>
      </c>
      <c r="Q73" s="130" t="s">
        <v>240</v>
      </c>
      <c r="R73" s="313" t="s">
        <v>438</v>
      </c>
      <c r="S73" s="313" t="s">
        <v>439</v>
      </c>
      <c r="T73" s="175"/>
      <c r="U73" s="316" t="e">
        <f>AVERAGE(T73:T75)</f>
        <v>#DIV/0!</v>
      </c>
      <c r="V73" s="324" t="e">
        <f>U73*I73</f>
        <v>#DIV/0!</v>
      </c>
      <c r="W73" s="2"/>
      <c r="X73" s="1"/>
      <c r="Y73" s="1"/>
      <c r="Z73" s="1"/>
      <c r="AA73" s="1"/>
      <c r="AB73" s="1"/>
      <c r="AC73" s="1"/>
      <c r="AD73" s="1"/>
      <c r="AE73" s="1"/>
      <c r="AF73" s="1"/>
      <c r="AG73" s="5"/>
    </row>
    <row r="74" spans="1:33" ht="115.5" customHeight="1" x14ac:dyDescent="0.3">
      <c r="A74" s="1"/>
      <c r="B74" s="237"/>
      <c r="C74" s="223"/>
      <c r="D74" s="226"/>
      <c r="E74" s="226"/>
      <c r="F74" s="245"/>
      <c r="G74" s="230"/>
      <c r="H74" s="226"/>
      <c r="I74" s="226"/>
      <c r="J74" s="226"/>
      <c r="K74" s="226"/>
      <c r="L74" s="131" t="s">
        <v>34</v>
      </c>
      <c r="M74" s="89" t="s">
        <v>274</v>
      </c>
      <c r="N74" s="89" t="s">
        <v>275</v>
      </c>
      <c r="O74" s="89" t="s">
        <v>276</v>
      </c>
      <c r="P74" s="89" t="s">
        <v>277</v>
      </c>
      <c r="Q74" s="89" t="s">
        <v>278</v>
      </c>
      <c r="R74" s="314"/>
      <c r="S74" s="314"/>
      <c r="T74" s="172"/>
      <c r="U74" s="314"/>
      <c r="V74" s="325"/>
      <c r="W74" s="2"/>
      <c r="X74" s="1"/>
      <c r="Y74" s="1"/>
      <c r="Z74" s="1"/>
      <c r="AA74" s="1"/>
      <c r="AB74" s="1"/>
      <c r="AC74" s="1"/>
      <c r="AD74" s="1"/>
      <c r="AE74" s="1"/>
      <c r="AF74" s="1"/>
      <c r="AG74" s="5"/>
    </row>
    <row r="75" spans="1:33" ht="119.45" customHeight="1" thickBot="1" x14ac:dyDescent="0.35">
      <c r="A75" s="1"/>
      <c r="B75" s="238"/>
      <c r="C75" s="224"/>
      <c r="D75" s="227"/>
      <c r="E75" s="227"/>
      <c r="F75" s="246"/>
      <c r="G75" s="247"/>
      <c r="H75" s="227"/>
      <c r="I75" s="227"/>
      <c r="J75" s="227"/>
      <c r="K75" s="227"/>
      <c r="L75" s="132" t="s">
        <v>36</v>
      </c>
      <c r="M75" s="127" t="s">
        <v>279</v>
      </c>
      <c r="N75" s="127" t="s">
        <v>280</v>
      </c>
      <c r="O75" s="127" t="s">
        <v>281</v>
      </c>
      <c r="P75" s="127" t="s">
        <v>282</v>
      </c>
      <c r="Q75" s="127" t="s">
        <v>283</v>
      </c>
      <c r="R75" s="315"/>
      <c r="S75" s="315"/>
      <c r="T75" s="176"/>
      <c r="U75" s="315"/>
      <c r="V75" s="326"/>
      <c r="W75" s="2"/>
      <c r="X75" s="1"/>
      <c r="Y75" s="1"/>
      <c r="Z75" s="1"/>
      <c r="AA75" s="1"/>
      <c r="AB75" s="1"/>
      <c r="AC75" s="1"/>
      <c r="AD75" s="1"/>
      <c r="AE75" s="1"/>
      <c r="AF75" s="1"/>
      <c r="AG75" s="5"/>
    </row>
    <row r="76" spans="1:33" ht="36" customHeight="1" thickBot="1" x14ac:dyDescent="0.45">
      <c r="A76" s="1"/>
      <c r="B76" s="330"/>
      <c r="C76" s="331"/>
      <c r="D76" s="331"/>
      <c r="E76" s="331"/>
      <c r="F76" s="331"/>
      <c r="G76" s="331"/>
      <c r="H76" s="331"/>
      <c r="I76" s="331"/>
      <c r="J76" s="331"/>
      <c r="K76" s="331"/>
      <c r="L76" s="331"/>
      <c r="M76" s="331"/>
      <c r="N76" s="331"/>
      <c r="O76" s="331"/>
      <c r="P76" s="331"/>
      <c r="Q76" s="331"/>
      <c r="R76" s="332" t="s">
        <v>284</v>
      </c>
      <c r="S76" s="333"/>
      <c r="T76" s="333"/>
      <c r="U76" s="334"/>
      <c r="V76" s="113" t="e">
        <f>SUM(V19:V75)</f>
        <v>#DIV/0!</v>
      </c>
      <c r="W76" s="2"/>
      <c r="X76" s="1"/>
      <c r="Y76" s="1"/>
      <c r="Z76" s="1"/>
      <c r="AA76" s="1"/>
      <c r="AB76" s="1"/>
      <c r="AC76" s="1"/>
      <c r="AD76" s="1"/>
      <c r="AE76" s="1"/>
      <c r="AF76" s="1"/>
      <c r="AG76" s="5"/>
    </row>
    <row r="77" spans="1:33" ht="83.45" customHeight="1" x14ac:dyDescent="0.4">
      <c r="A77" s="1"/>
      <c r="B77" s="114"/>
      <c r="C77" s="115" t="s">
        <v>285</v>
      </c>
      <c r="D77" s="115" t="s">
        <v>286</v>
      </c>
      <c r="E77" s="115" t="s">
        <v>287</v>
      </c>
      <c r="F77" s="116"/>
      <c r="G77" s="116"/>
      <c r="H77" s="116"/>
      <c r="I77" s="116"/>
      <c r="J77" s="116"/>
      <c r="K77" s="116"/>
      <c r="L77" s="116"/>
      <c r="M77" s="116"/>
      <c r="N77" s="116"/>
      <c r="O77" s="116"/>
      <c r="P77" s="116"/>
      <c r="Q77" s="116"/>
      <c r="R77" s="116"/>
      <c r="S77" s="114"/>
      <c r="T77" s="114"/>
      <c r="U77" s="117"/>
      <c r="V77" s="117"/>
      <c r="W77" s="2"/>
      <c r="X77" s="1"/>
      <c r="Y77" s="1"/>
      <c r="Z77" s="1"/>
      <c r="AA77" s="1"/>
      <c r="AB77" s="1"/>
      <c r="AC77" s="1"/>
      <c r="AD77" s="1"/>
      <c r="AE77" s="1"/>
      <c r="AF77" s="1"/>
      <c r="AG77" s="5"/>
    </row>
    <row r="78" spans="1:33" ht="44.1" customHeight="1" x14ac:dyDescent="0.3">
      <c r="A78" s="1"/>
      <c r="B78" s="15"/>
      <c r="C78" s="15"/>
      <c r="D78" s="15"/>
      <c r="E78" s="3"/>
      <c r="F78" s="3"/>
      <c r="G78" s="15"/>
      <c r="H78" s="15"/>
      <c r="I78" s="15"/>
      <c r="J78" s="15"/>
      <c r="K78" s="15"/>
      <c r="L78" s="15"/>
      <c r="M78" s="15"/>
      <c r="N78" s="15"/>
      <c r="O78" s="15"/>
      <c r="P78" s="15"/>
      <c r="Q78" s="15" t="s">
        <v>288</v>
      </c>
      <c r="R78" s="15"/>
      <c r="S78" s="15"/>
      <c r="T78" s="15"/>
      <c r="U78" s="14"/>
      <c r="V78" s="14"/>
      <c r="W78" s="2"/>
      <c r="X78" s="1"/>
      <c r="Y78" s="1"/>
      <c r="Z78" s="1"/>
      <c r="AA78" s="1"/>
      <c r="AB78" s="1"/>
      <c r="AC78" s="1"/>
      <c r="AD78" s="1"/>
      <c r="AE78" s="1"/>
      <c r="AF78" s="1"/>
      <c r="AG78" s="5"/>
    </row>
    <row r="79" spans="1:33" ht="86.1" customHeight="1" x14ac:dyDescent="0.4">
      <c r="A79" s="1"/>
      <c r="B79" s="335" t="s">
        <v>477</v>
      </c>
      <c r="C79" s="336"/>
      <c r="D79" s="336"/>
      <c r="E79" s="336"/>
      <c r="F79" s="336"/>
      <c r="G79" s="336"/>
      <c r="H79" s="336"/>
      <c r="I79" s="336"/>
      <c r="J79" s="336"/>
      <c r="K79" s="336"/>
      <c r="L79" s="336"/>
      <c r="M79" s="336"/>
      <c r="N79" s="336"/>
      <c r="O79" s="336"/>
      <c r="P79" s="336"/>
      <c r="Q79" s="336"/>
      <c r="R79" s="336"/>
      <c r="S79" s="336"/>
      <c r="T79" s="336"/>
      <c r="U79" s="336"/>
      <c r="V79" s="336"/>
      <c r="W79" s="2"/>
      <c r="X79" s="1"/>
      <c r="Y79" s="1"/>
      <c r="Z79" s="1"/>
      <c r="AA79" s="1"/>
      <c r="AB79" s="1"/>
      <c r="AC79" s="1"/>
      <c r="AD79" s="1"/>
      <c r="AE79" s="1"/>
      <c r="AF79" s="1"/>
      <c r="AG79" s="5"/>
    </row>
    <row r="80" spans="1:33" ht="21.75" customHeight="1" thickBot="1" x14ac:dyDescent="0.35">
      <c r="A80" s="1"/>
      <c r="B80" s="337" t="s">
        <v>289</v>
      </c>
      <c r="C80" s="338"/>
      <c r="D80" s="338"/>
      <c r="E80" s="338"/>
      <c r="F80" s="338"/>
      <c r="G80" s="338"/>
      <c r="H80" s="338"/>
      <c r="I80" s="338"/>
      <c r="J80" s="338"/>
      <c r="K80" s="338"/>
      <c r="L80" s="338"/>
      <c r="M80" s="338"/>
      <c r="N80" s="338"/>
      <c r="O80" s="338"/>
      <c r="P80" s="338"/>
      <c r="Q80" s="338"/>
      <c r="R80" s="339"/>
      <c r="S80" s="337" t="s">
        <v>9</v>
      </c>
      <c r="T80" s="338"/>
      <c r="U80" s="338"/>
      <c r="V80" s="339"/>
      <c r="W80" s="2"/>
      <c r="X80" s="1"/>
      <c r="Y80" s="1"/>
      <c r="Z80" s="1"/>
      <c r="AA80" s="1"/>
      <c r="AB80" s="1"/>
      <c r="AC80" s="1"/>
      <c r="AD80" s="1"/>
      <c r="AE80" s="1"/>
      <c r="AF80" s="1"/>
      <c r="AG80" s="5"/>
    </row>
    <row r="81" spans="1:33" ht="102" customHeight="1" thickBot="1" x14ac:dyDescent="0.35">
      <c r="A81" s="7"/>
      <c r="B81" s="340" t="s">
        <v>290</v>
      </c>
      <c r="C81" s="338"/>
      <c r="D81" s="338"/>
      <c r="E81" s="341"/>
      <c r="F81" s="345" t="s">
        <v>291</v>
      </c>
      <c r="G81" s="346"/>
      <c r="H81" s="292" t="s">
        <v>11</v>
      </c>
      <c r="I81" s="294" t="s">
        <v>12</v>
      </c>
      <c r="J81" s="288" t="s">
        <v>457</v>
      </c>
      <c r="K81" s="289"/>
      <c r="L81" s="290" t="s">
        <v>455</v>
      </c>
      <c r="M81" s="328" t="s">
        <v>292</v>
      </c>
      <c r="N81" s="329"/>
      <c r="O81" s="329"/>
      <c r="P81" s="329"/>
      <c r="Q81" s="289"/>
      <c r="R81" s="292" t="s">
        <v>14</v>
      </c>
      <c r="S81" s="349" t="s">
        <v>293</v>
      </c>
      <c r="T81" s="349" t="s">
        <v>16</v>
      </c>
      <c r="U81" s="290" t="s">
        <v>17</v>
      </c>
      <c r="V81" s="290" t="s">
        <v>18</v>
      </c>
      <c r="W81" s="8"/>
      <c r="X81" s="7"/>
      <c r="Y81" s="7"/>
      <c r="Z81" s="7"/>
      <c r="AA81" s="7"/>
      <c r="AB81" s="7"/>
      <c r="AC81" s="7"/>
      <c r="AD81" s="7"/>
      <c r="AE81" s="7"/>
      <c r="AF81" s="7"/>
      <c r="AG81" s="16"/>
    </row>
    <row r="82" spans="1:33" ht="71.099999999999994" customHeight="1" thickBot="1" x14ac:dyDescent="0.35">
      <c r="A82" s="1"/>
      <c r="B82" s="342"/>
      <c r="C82" s="343"/>
      <c r="D82" s="343"/>
      <c r="E82" s="344"/>
      <c r="F82" s="347"/>
      <c r="G82" s="348"/>
      <c r="H82" s="293"/>
      <c r="I82" s="291"/>
      <c r="J82" s="17" t="s">
        <v>458</v>
      </c>
      <c r="K82" s="17" t="s">
        <v>456</v>
      </c>
      <c r="L82" s="291"/>
      <c r="M82" s="17" t="s">
        <v>19</v>
      </c>
      <c r="N82" s="17" t="s">
        <v>20</v>
      </c>
      <c r="O82" s="17" t="s">
        <v>21</v>
      </c>
      <c r="P82" s="17" t="s">
        <v>22</v>
      </c>
      <c r="Q82" s="17" t="s">
        <v>23</v>
      </c>
      <c r="R82" s="293"/>
      <c r="S82" s="350"/>
      <c r="T82" s="350"/>
      <c r="U82" s="291"/>
      <c r="V82" s="291"/>
      <c r="W82" s="2"/>
      <c r="X82" s="1"/>
      <c r="Y82" s="1"/>
      <c r="Z82" s="1"/>
      <c r="AA82" s="1"/>
      <c r="AB82" s="1"/>
      <c r="AC82" s="1"/>
      <c r="AD82" s="1"/>
      <c r="AE82" s="1"/>
      <c r="AF82" s="1"/>
      <c r="AG82" s="5"/>
    </row>
    <row r="83" spans="1:33" ht="218.1" customHeight="1" thickTop="1" thickBot="1" x14ac:dyDescent="0.35">
      <c r="A83" s="1"/>
      <c r="B83" s="367" t="s">
        <v>43</v>
      </c>
      <c r="C83" s="358"/>
      <c r="D83" s="358"/>
      <c r="E83" s="368"/>
      <c r="F83" s="382" t="s">
        <v>294</v>
      </c>
      <c r="G83" s="229"/>
      <c r="H83" s="383"/>
      <c r="I83" s="384">
        <v>0.05</v>
      </c>
      <c r="J83" s="385">
        <v>4</v>
      </c>
      <c r="K83" s="386" t="s">
        <v>295</v>
      </c>
      <c r="L83" s="183" t="s">
        <v>32</v>
      </c>
      <c r="M83" s="197" t="s">
        <v>296</v>
      </c>
      <c r="N83" s="197" t="s">
        <v>297</v>
      </c>
      <c r="O83" s="197" t="s">
        <v>298</v>
      </c>
      <c r="P83" s="197" t="s">
        <v>299</v>
      </c>
      <c r="Q83" s="197" t="s">
        <v>300</v>
      </c>
      <c r="R83" s="285" t="s">
        <v>301</v>
      </c>
      <c r="S83" s="285" t="s">
        <v>302</v>
      </c>
      <c r="T83" s="184"/>
      <c r="U83" s="302" t="e">
        <f>AVERAGE(T83:T85)</f>
        <v>#DIV/0!</v>
      </c>
      <c r="V83" s="360" t="e">
        <f>U83*I83</f>
        <v>#DIV/0!</v>
      </c>
      <c r="W83" s="2"/>
      <c r="X83" s="1"/>
      <c r="Y83" s="1"/>
      <c r="Z83" s="1"/>
      <c r="AA83" s="1"/>
      <c r="AB83" s="1"/>
      <c r="AC83" s="1"/>
      <c r="AD83" s="1"/>
      <c r="AE83" s="1"/>
      <c r="AF83" s="1"/>
      <c r="AG83" s="5"/>
    </row>
    <row r="84" spans="1:33" ht="174" customHeight="1" thickBot="1" x14ac:dyDescent="0.35">
      <c r="A84" s="1"/>
      <c r="B84" s="266"/>
      <c r="C84" s="331"/>
      <c r="D84" s="331"/>
      <c r="E84" s="369"/>
      <c r="F84" s="253"/>
      <c r="G84" s="229"/>
      <c r="H84" s="220"/>
      <c r="I84" s="220"/>
      <c r="J84" s="220"/>
      <c r="K84" s="220"/>
      <c r="L84" s="186" t="s">
        <v>34</v>
      </c>
      <c r="M84" s="198" t="s">
        <v>303</v>
      </c>
      <c r="N84" s="198" t="s">
        <v>304</v>
      </c>
      <c r="O84" s="198" t="s">
        <v>305</v>
      </c>
      <c r="P84" s="198" t="s">
        <v>306</v>
      </c>
      <c r="Q84" s="198" t="s">
        <v>307</v>
      </c>
      <c r="R84" s="282"/>
      <c r="S84" s="282"/>
      <c r="T84" s="184"/>
      <c r="U84" s="220"/>
      <c r="V84" s="306"/>
      <c r="W84" s="2"/>
      <c r="X84" s="1"/>
      <c r="Y84" s="1"/>
      <c r="Z84" s="1"/>
      <c r="AA84" s="1"/>
      <c r="AB84" s="1"/>
      <c r="AC84" s="1"/>
      <c r="AD84" s="1"/>
      <c r="AE84" s="1"/>
      <c r="AF84" s="1"/>
      <c r="AG84" s="5"/>
    </row>
    <row r="85" spans="1:33" ht="147.6" customHeight="1" thickBot="1" x14ac:dyDescent="0.35">
      <c r="A85" s="1"/>
      <c r="B85" s="237"/>
      <c r="C85" s="352"/>
      <c r="D85" s="352"/>
      <c r="E85" s="263"/>
      <c r="F85" s="245"/>
      <c r="G85" s="230"/>
      <c r="H85" s="226"/>
      <c r="I85" s="226"/>
      <c r="J85" s="226"/>
      <c r="K85" s="226"/>
      <c r="L85" s="187" t="s">
        <v>36</v>
      </c>
      <c r="M85" s="199" t="s">
        <v>308</v>
      </c>
      <c r="N85" s="199" t="s">
        <v>309</v>
      </c>
      <c r="O85" s="199" t="s">
        <v>310</v>
      </c>
      <c r="P85" s="199" t="s">
        <v>311</v>
      </c>
      <c r="Q85" s="199" t="s">
        <v>312</v>
      </c>
      <c r="R85" s="286"/>
      <c r="S85" s="286"/>
      <c r="T85" s="185"/>
      <c r="U85" s="226"/>
      <c r="V85" s="258"/>
      <c r="W85" s="2"/>
      <c r="X85" s="1"/>
      <c r="Y85" s="1"/>
      <c r="Z85" s="1"/>
      <c r="AA85" s="1"/>
      <c r="AB85" s="1"/>
      <c r="AC85" s="1"/>
      <c r="AD85" s="1"/>
      <c r="AE85" s="1"/>
      <c r="AF85" s="1"/>
      <c r="AG85" s="5"/>
    </row>
    <row r="86" spans="1:33" ht="77.099999999999994" customHeight="1" x14ac:dyDescent="0.3">
      <c r="A86" s="19"/>
      <c r="B86" s="370" t="s">
        <v>313</v>
      </c>
      <c r="C86" s="371"/>
      <c r="D86" s="371"/>
      <c r="E86" s="244"/>
      <c r="F86" s="376" t="s">
        <v>314</v>
      </c>
      <c r="G86" s="377"/>
      <c r="H86" s="378"/>
      <c r="I86" s="379">
        <v>0.05</v>
      </c>
      <c r="J86" s="380">
        <v>1</v>
      </c>
      <c r="K86" s="381"/>
      <c r="L86" s="188" t="s">
        <v>32</v>
      </c>
      <c r="M86" s="200" t="s">
        <v>315</v>
      </c>
      <c r="N86" s="200" t="s">
        <v>316</v>
      </c>
      <c r="O86" s="200" t="s">
        <v>317</v>
      </c>
      <c r="P86" s="200" t="s">
        <v>318</v>
      </c>
      <c r="Q86" s="201" t="s">
        <v>319</v>
      </c>
      <c r="R86" s="361" t="s">
        <v>320</v>
      </c>
      <c r="S86" s="361" t="s">
        <v>321</v>
      </c>
      <c r="T86" s="189"/>
      <c r="U86" s="303" t="e">
        <f>AVERAGE(T86:T88)</f>
        <v>#DIV/0!</v>
      </c>
      <c r="V86" s="364" t="e">
        <f>U86*I86</f>
        <v>#DIV/0!</v>
      </c>
      <c r="W86" s="2"/>
      <c r="X86" s="1"/>
      <c r="Y86" s="1"/>
      <c r="Z86" s="1"/>
      <c r="AA86" s="1"/>
      <c r="AB86" s="1"/>
      <c r="AC86" s="1"/>
      <c r="AD86" s="1"/>
      <c r="AE86" s="1"/>
      <c r="AF86" s="1"/>
      <c r="AG86" s="5"/>
    </row>
    <row r="87" spans="1:33" ht="86.1" customHeight="1" x14ac:dyDescent="0.3">
      <c r="A87" s="1"/>
      <c r="B87" s="372"/>
      <c r="C87" s="373"/>
      <c r="D87" s="373"/>
      <c r="E87" s="230"/>
      <c r="F87" s="245"/>
      <c r="G87" s="373"/>
      <c r="H87" s="362"/>
      <c r="I87" s="362"/>
      <c r="J87" s="230"/>
      <c r="K87" s="226"/>
      <c r="L87" s="186" t="s">
        <v>34</v>
      </c>
      <c r="M87" s="202" t="s">
        <v>322</v>
      </c>
      <c r="N87" s="202" t="s">
        <v>323</v>
      </c>
      <c r="O87" s="202" t="s">
        <v>324</v>
      </c>
      <c r="P87" s="202" t="s">
        <v>325</v>
      </c>
      <c r="Q87" s="203" t="s">
        <v>326</v>
      </c>
      <c r="R87" s="362"/>
      <c r="S87" s="362"/>
      <c r="T87" s="190"/>
      <c r="U87" s="226"/>
      <c r="V87" s="365"/>
      <c r="W87" s="2"/>
      <c r="X87" s="1"/>
      <c r="Y87" s="1"/>
      <c r="Z87" s="1"/>
      <c r="AA87" s="1"/>
      <c r="AB87" s="1"/>
      <c r="AC87" s="1"/>
      <c r="AD87" s="1"/>
      <c r="AE87" s="1"/>
      <c r="AF87" s="1"/>
      <c r="AG87" s="5"/>
    </row>
    <row r="88" spans="1:33" ht="87" customHeight="1" thickBot="1" x14ac:dyDescent="0.35">
      <c r="A88" s="1"/>
      <c r="B88" s="374"/>
      <c r="C88" s="375"/>
      <c r="D88" s="375"/>
      <c r="E88" s="247"/>
      <c r="F88" s="246"/>
      <c r="G88" s="375"/>
      <c r="H88" s="363"/>
      <c r="I88" s="363"/>
      <c r="J88" s="247"/>
      <c r="K88" s="227"/>
      <c r="L88" s="191" t="s">
        <v>36</v>
      </c>
      <c r="M88" s="204" t="s">
        <v>327</v>
      </c>
      <c r="N88" s="204" t="s">
        <v>328</v>
      </c>
      <c r="O88" s="204" t="s">
        <v>329</v>
      </c>
      <c r="P88" s="204" t="s">
        <v>330</v>
      </c>
      <c r="Q88" s="205" t="s">
        <v>331</v>
      </c>
      <c r="R88" s="363"/>
      <c r="S88" s="363"/>
      <c r="T88" s="192"/>
      <c r="U88" s="227"/>
      <c r="V88" s="366"/>
      <c r="W88" s="2"/>
      <c r="X88" s="1"/>
      <c r="Y88" s="1"/>
      <c r="Z88" s="1"/>
      <c r="AA88" s="1"/>
      <c r="AB88" s="1"/>
      <c r="AC88" s="1"/>
      <c r="AD88" s="1"/>
      <c r="AE88" s="1"/>
      <c r="AF88" s="1"/>
      <c r="AG88" s="5"/>
    </row>
    <row r="89" spans="1:33" ht="81" customHeight="1" x14ac:dyDescent="0.3">
      <c r="A89" s="1"/>
      <c r="B89" s="351" t="s">
        <v>170</v>
      </c>
      <c r="C89" s="352"/>
      <c r="D89" s="352"/>
      <c r="E89" s="230"/>
      <c r="F89" s="354" t="s">
        <v>332</v>
      </c>
      <c r="G89" s="230"/>
      <c r="H89" s="355"/>
      <c r="I89" s="269">
        <v>0.05</v>
      </c>
      <c r="J89" s="356">
        <v>4</v>
      </c>
      <c r="K89" s="271" t="s">
        <v>333</v>
      </c>
      <c r="L89" s="193" t="s">
        <v>32</v>
      </c>
      <c r="M89" s="206" t="s">
        <v>334</v>
      </c>
      <c r="N89" s="207" t="s">
        <v>335</v>
      </c>
      <c r="O89" s="207" t="s">
        <v>336</v>
      </c>
      <c r="P89" s="207" t="s">
        <v>337</v>
      </c>
      <c r="Q89" s="207" t="s">
        <v>338</v>
      </c>
      <c r="R89" s="281" t="s">
        <v>339</v>
      </c>
      <c r="S89" s="281" t="s">
        <v>339</v>
      </c>
      <c r="T89" s="194"/>
      <c r="U89" s="304" t="e">
        <f>AVERAGE(T89:T94)</f>
        <v>#DIV/0!</v>
      </c>
      <c r="V89" s="305" t="e">
        <f>U89*I89</f>
        <v>#DIV/0!</v>
      </c>
      <c r="W89" s="2"/>
      <c r="X89" s="1"/>
      <c r="Y89" s="1"/>
      <c r="Z89" s="1"/>
      <c r="AA89" s="1"/>
      <c r="AB89" s="1"/>
      <c r="AC89" s="1"/>
      <c r="AD89" s="1"/>
      <c r="AE89" s="1"/>
      <c r="AF89" s="1"/>
      <c r="AG89" s="5"/>
    </row>
    <row r="90" spans="1:33" ht="174" customHeight="1" x14ac:dyDescent="0.3">
      <c r="A90" s="1"/>
      <c r="B90" s="266"/>
      <c r="C90" s="331"/>
      <c r="D90" s="331"/>
      <c r="E90" s="229"/>
      <c r="F90" s="253"/>
      <c r="G90" s="229"/>
      <c r="H90" s="220"/>
      <c r="I90" s="220"/>
      <c r="J90" s="220"/>
      <c r="K90" s="220"/>
      <c r="L90" s="193" t="s">
        <v>34</v>
      </c>
      <c r="M90" s="208" t="s">
        <v>340</v>
      </c>
      <c r="N90" s="198" t="s">
        <v>341</v>
      </c>
      <c r="O90" s="198" t="s">
        <v>342</v>
      </c>
      <c r="P90" s="198" t="s">
        <v>343</v>
      </c>
      <c r="Q90" s="198" t="s">
        <v>344</v>
      </c>
      <c r="R90" s="282"/>
      <c r="S90" s="282"/>
      <c r="T90" s="190"/>
      <c r="U90" s="220"/>
      <c r="V90" s="306"/>
      <c r="W90" s="2"/>
      <c r="X90" s="1"/>
      <c r="Y90" s="1"/>
      <c r="Z90" s="1"/>
      <c r="AA90" s="1"/>
      <c r="AB90" s="1"/>
      <c r="AC90" s="1"/>
      <c r="AD90" s="1"/>
      <c r="AE90" s="1"/>
      <c r="AF90" s="1"/>
      <c r="AG90" s="5"/>
    </row>
    <row r="91" spans="1:33" ht="72" customHeight="1" thickBot="1" x14ac:dyDescent="0.35">
      <c r="A91" s="1"/>
      <c r="B91" s="238"/>
      <c r="C91" s="353"/>
      <c r="D91" s="353"/>
      <c r="E91" s="267"/>
      <c r="F91" s="287"/>
      <c r="G91" s="267"/>
      <c r="H91" s="221"/>
      <c r="I91" s="221"/>
      <c r="J91" s="221"/>
      <c r="K91" s="221"/>
      <c r="L91" s="195" t="s">
        <v>36</v>
      </c>
      <c r="M91" s="209" t="s">
        <v>187</v>
      </c>
      <c r="N91" s="210" t="s">
        <v>188</v>
      </c>
      <c r="O91" s="210" t="s">
        <v>189</v>
      </c>
      <c r="P91" s="210" t="s">
        <v>190</v>
      </c>
      <c r="Q91" s="210" t="s">
        <v>191</v>
      </c>
      <c r="R91" s="283"/>
      <c r="S91" s="283"/>
      <c r="T91" s="190"/>
      <c r="U91" s="220"/>
      <c r="V91" s="306"/>
      <c r="W91" s="2"/>
      <c r="X91" s="1"/>
      <c r="Y91" s="1"/>
      <c r="Z91" s="1"/>
      <c r="AA91" s="1"/>
      <c r="AB91" s="1"/>
      <c r="AC91" s="1"/>
      <c r="AD91" s="1"/>
      <c r="AE91" s="1"/>
      <c r="AF91" s="1"/>
      <c r="AG91" s="5"/>
    </row>
    <row r="92" spans="1:33" ht="258" customHeight="1" x14ac:dyDescent="0.3">
      <c r="A92" s="1"/>
      <c r="B92" s="357" t="s">
        <v>345</v>
      </c>
      <c r="C92" s="358"/>
      <c r="D92" s="358"/>
      <c r="E92" s="252"/>
      <c r="F92" s="402" t="s">
        <v>346</v>
      </c>
      <c r="G92" s="252"/>
      <c r="H92" s="359"/>
      <c r="I92" s="390">
        <v>0.05</v>
      </c>
      <c r="J92" s="359">
        <v>4</v>
      </c>
      <c r="K92" s="359" t="s">
        <v>347</v>
      </c>
      <c r="L92" s="196" t="s">
        <v>32</v>
      </c>
      <c r="M92" s="211" t="s">
        <v>487</v>
      </c>
      <c r="N92" s="212" t="s">
        <v>348</v>
      </c>
      <c r="O92" s="212" t="s">
        <v>349</v>
      </c>
      <c r="P92" s="212" t="s">
        <v>350</v>
      </c>
      <c r="Q92" s="212" t="s">
        <v>351</v>
      </c>
      <c r="R92" s="284" t="s">
        <v>352</v>
      </c>
      <c r="S92" s="284" t="s">
        <v>353</v>
      </c>
      <c r="T92" s="190"/>
      <c r="U92" s="307" t="e">
        <f>AVERAGE(T92:T97)</f>
        <v>#DIV/0!</v>
      </c>
      <c r="V92" s="308" t="e">
        <f>U92*I92</f>
        <v>#DIV/0!</v>
      </c>
      <c r="W92" s="2"/>
      <c r="X92" s="1"/>
      <c r="Y92" s="1"/>
      <c r="Z92" s="1"/>
      <c r="AA92" s="1"/>
      <c r="AB92" s="1"/>
      <c r="AC92" s="1"/>
      <c r="AD92" s="1"/>
      <c r="AE92" s="1"/>
      <c r="AF92" s="1"/>
      <c r="AG92" s="5"/>
    </row>
    <row r="93" spans="1:33" ht="81.599999999999994" customHeight="1" x14ac:dyDescent="0.3">
      <c r="A93" s="1"/>
      <c r="B93" s="266"/>
      <c r="C93" s="331"/>
      <c r="D93" s="331"/>
      <c r="E93" s="229"/>
      <c r="F93" s="253"/>
      <c r="G93" s="229"/>
      <c r="H93" s="220"/>
      <c r="I93" s="220"/>
      <c r="J93" s="220"/>
      <c r="K93" s="220"/>
      <c r="L93" s="90" t="s">
        <v>34</v>
      </c>
      <c r="M93" s="209" t="s">
        <v>354</v>
      </c>
      <c r="N93" s="209" t="s">
        <v>355</v>
      </c>
      <c r="O93" s="209" t="s">
        <v>356</v>
      </c>
      <c r="P93" s="209" t="s">
        <v>357</v>
      </c>
      <c r="Q93" s="209" t="s">
        <v>358</v>
      </c>
      <c r="R93" s="282"/>
      <c r="S93" s="282"/>
      <c r="T93" s="190"/>
      <c r="U93" s="220"/>
      <c r="V93" s="306"/>
      <c r="W93" s="2"/>
      <c r="X93" s="1"/>
      <c r="Y93" s="1"/>
      <c r="Z93" s="1"/>
      <c r="AA93" s="1"/>
      <c r="AB93" s="1"/>
      <c r="AC93" s="1"/>
      <c r="AD93" s="1"/>
      <c r="AE93" s="1"/>
      <c r="AF93" s="1"/>
      <c r="AG93" s="5"/>
    </row>
    <row r="94" spans="1:33" ht="114.95" customHeight="1" thickBot="1" x14ac:dyDescent="0.35">
      <c r="A94" s="1"/>
      <c r="B94" s="238"/>
      <c r="C94" s="353"/>
      <c r="D94" s="353"/>
      <c r="E94" s="267"/>
      <c r="F94" s="254"/>
      <c r="G94" s="255"/>
      <c r="H94" s="221"/>
      <c r="I94" s="221"/>
      <c r="J94" s="221"/>
      <c r="K94" s="221"/>
      <c r="L94" s="92" t="s">
        <v>36</v>
      </c>
      <c r="M94" s="213" t="s">
        <v>359</v>
      </c>
      <c r="N94" s="213" t="s">
        <v>360</v>
      </c>
      <c r="O94" s="213" t="s">
        <v>361</v>
      </c>
      <c r="P94" s="213" t="s">
        <v>362</v>
      </c>
      <c r="Q94" s="213" t="s">
        <v>363</v>
      </c>
      <c r="R94" s="283"/>
      <c r="S94" s="283"/>
      <c r="T94" s="190"/>
      <c r="U94" s="220"/>
      <c r="V94" s="306"/>
      <c r="W94" s="2"/>
      <c r="X94" s="1"/>
      <c r="Y94" s="1"/>
      <c r="Z94" s="1"/>
      <c r="AA94" s="1"/>
      <c r="AB94" s="1"/>
      <c r="AC94" s="1"/>
      <c r="AD94" s="1"/>
      <c r="AE94" s="1"/>
      <c r="AF94" s="1"/>
      <c r="AG94" s="5"/>
    </row>
    <row r="95" spans="1:33" ht="24.75" hidden="1" customHeight="1" x14ac:dyDescent="0.3">
      <c r="A95" s="1"/>
      <c r="B95" s="403"/>
      <c r="C95" s="404"/>
      <c r="D95" s="404"/>
      <c r="E95" s="399"/>
      <c r="F95" s="409"/>
      <c r="G95" s="410"/>
      <c r="H95" s="411"/>
      <c r="I95" s="387"/>
      <c r="J95" s="391"/>
      <c r="K95" s="392"/>
      <c r="L95" s="21"/>
      <c r="M95" s="23"/>
      <c r="N95" s="23"/>
      <c r="O95" s="23"/>
      <c r="P95" s="23"/>
      <c r="Q95" s="23"/>
      <c r="R95" s="24"/>
      <c r="S95" s="25"/>
      <c r="T95" s="26"/>
      <c r="U95" s="295"/>
      <c r="V95" s="309"/>
      <c r="W95" s="2"/>
      <c r="X95" s="1"/>
      <c r="Y95" s="1"/>
      <c r="Z95" s="1"/>
      <c r="AA95" s="1"/>
      <c r="AB95" s="1"/>
      <c r="AC95" s="1"/>
      <c r="AD95" s="1"/>
      <c r="AE95" s="1"/>
      <c r="AF95" s="1"/>
      <c r="AG95" s="5"/>
    </row>
    <row r="96" spans="1:33" ht="24.75" hidden="1" customHeight="1" x14ac:dyDescent="0.3">
      <c r="A96" s="1"/>
      <c r="B96" s="405"/>
      <c r="C96" s="404"/>
      <c r="D96" s="404"/>
      <c r="E96" s="399"/>
      <c r="F96" s="398"/>
      <c r="G96" s="399"/>
      <c r="H96" s="296"/>
      <c r="I96" s="296"/>
      <c r="J96" s="296"/>
      <c r="K96" s="296"/>
      <c r="L96" s="18"/>
      <c r="M96" s="12"/>
      <c r="N96" s="12"/>
      <c r="O96" s="12"/>
      <c r="P96" s="12"/>
      <c r="Q96" s="12"/>
      <c r="R96" s="28"/>
      <c r="S96" s="29"/>
      <c r="T96" s="28"/>
      <c r="U96" s="296"/>
      <c r="V96" s="300"/>
      <c r="W96" s="2"/>
      <c r="X96" s="1"/>
      <c r="Y96" s="1"/>
      <c r="Z96" s="1"/>
      <c r="AA96" s="1"/>
      <c r="AB96" s="1"/>
      <c r="AC96" s="1"/>
      <c r="AD96" s="1"/>
      <c r="AE96" s="1"/>
      <c r="AF96" s="1"/>
      <c r="AG96" s="5"/>
    </row>
    <row r="97" spans="1:33" ht="24.75" hidden="1" customHeight="1" x14ac:dyDescent="0.3">
      <c r="A97" s="1"/>
      <c r="B97" s="405"/>
      <c r="C97" s="404"/>
      <c r="D97" s="404"/>
      <c r="E97" s="399"/>
      <c r="F97" s="400"/>
      <c r="G97" s="401"/>
      <c r="H97" s="297"/>
      <c r="I97" s="297"/>
      <c r="J97" s="297"/>
      <c r="K97" s="297"/>
      <c r="L97" s="18"/>
      <c r="M97" s="12"/>
      <c r="N97" s="12"/>
      <c r="O97" s="12"/>
      <c r="P97" s="12"/>
      <c r="Q97" s="12"/>
      <c r="R97" s="28"/>
      <c r="S97" s="29"/>
      <c r="T97" s="28"/>
      <c r="U97" s="297"/>
      <c r="V97" s="301"/>
      <c r="W97" s="2"/>
      <c r="X97" s="1"/>
      <c r="Y97" s="1"/>
      <c r="Z97" s="1"/>
      <c r="AA97" s="1"/>
      <c r="AB97" s="1"/>
      <c r="AC97" s="1"/>
      <c r="AD97" s="1"/>
      <c r="AE97" s="1"/>
      <c r="AF97" s="1"/>
      <c r="AG97" s="5"/>
    </row>
    <row r="98" spans="1:33" ht="24.75" hidden="1" customHeight="1" x14ac:dyDescent="0.3">
      <c r="A98" s="1"/>
      <c r="B98" s="405"/>
      <c r="C98" s="404"/>
      <c r="D98" s="404"/>
      <c r="E98" s="399"/>
      <c r="F98" s="396"/>
      <c r="G98" s="397"/>
      <c r="H98" s="412"/>
      <c r="I98" s="393"/>
      <c r="J98" s="394"/>
      <c r="K98" s="395"/>
      <c r="L98" s="18"/>
      <c r="M98" s="28"/>
      <c r="N98" s="28"/>
      <c r="O98" s="28"/>
      <c r="P98" s="28"/>
      <c r="Q98" s="28"/>
      <c r="R98" s="28"/>
      <c r="S98" s="29"/>
      <c r="T98" s="28"/>
      <c r="U98" s="295"/>
      <c r="V98" s="299"/>
      <c r="W98" s="2"/>
      <c r="X98" s="1"/>
      <c r="Y98" s="1"/>
      <c r="Z98" s="1"/>
      <c r="AA98" s="1"/>
      <c r="AB98" s="1"/>
      <c r="AC98" s="1"/>
      <c r="AD98" s="1"/>
      <c r="AE98" s="1"/>
      <c r="AF98" s="1"/>
      <c r="AG98" s="5"/>
    </row>
    <row r="99" spans="1:33" ht="24.75" hidden="1" customHeight="1" x14ac:dyDescent="0.3">
      <c r="A99" s="1"/>
      <c r="B99" s="405"/>
      <c r="C99" s="404"/>
      <c r="D99" s="404"/>
      <c r="E99" s="399"/>
      <c r="F99" s="398"/>
      <c r="G99" s="399"/>
      <c r="H99" s="296"/>
      <c r="I99" s="296"/>
      <c r="J99" s="296"/>
      <c r="K99" s="296"/>
      <c r="L99" s="18"/>
      <c r="M99" s="28"/>
      <c r="N99" s="28"/>
      <c r="O99" s="28"/>
      <c r="P99" s="28"/>
      <c r="Q99" s="28"/>
      <c r="R99" s="28"/>
      <c r="S99" s="29"/>
      <c r="T99" s="28"/>
      <c r="U99" s="296"/>
      <c r="V99" s="300"/>
      <c r="W99" s="2"/>
      <c r="X99" s="1"/>
      <c r="Y99" s="1"/>
      <c r="Z99" s="1"/>
      <c r="AA99" s="1"/>
      <c r="AB99" s="1"/>
      <c r="AC99" s="1"/>
      <c r="AD99" s="1"/>
      <c r="AE99" s="1"/>
      <c r="AF99" s="1"/>
      <c r="AG99" s="5"/>
    </row>
    <row r="100" spans="1:33" ht="24.75" hidden="1" customHeight="1" x14ac:dyDescent="0.3">
      <c r="A100" s="1"/>
      <c r="B100" s="405"/>
      <c r="C100" s="404"/>
      <c r="D100" s="404"/>
      <c r="E100" s="399"/>
      <c r="F100" s="400"/>
      <c r="G100" s="401"/>
      <c r="H100" s="297"/>
      <c r="I100" s="297"/>
      <c r="J100" s="297"/>
      <c r="K100" s="297"/>
      <c r="L100" s="18"/>
      <c r="M100" s="28"/>
      <c r="N100" s="28"/>
      <c r="O100" s="28"/>
      <c r="P100" s="28"/>
      <c r="Q100" s="28"/>
      <c r="R100" s="28"/>
      <c r="S100" s="29"/>
      <c r="T100" s="28"/>
      <c r="U100" s="297"/>
      <c r="V100" s="301"/>
      <c r="W100" s="2"/>
      <c r="X100" s="1"/>
      <c r="Y100" s="1"/>
      <c r="Z100" s="1"/>
      <c r="AA100" s="1"/>
      <c r="AB100" s="1"/>
      <c r="AC100" s="1"/>
      <c r="AD100" s="1"/>
      <c r="AE100" s="1"/>
      <c r="AF100" s="1"/>
      <c r="AG100" s="5"/>
    </row>
    <row r="101" spans="1:33" ht="24.75" hidden="1" customHeight="1" x14ac:dyDescent="0.3">
      <c r="A101" s="1"/>
      <c r="B101" s="405"/>
      <c r="C101" s="404"/>
      <c r="D101" s="404"/>
      <c r="E101" s="399"/>
      <c r="F101" s="396"/>
      <c r="G101" s="397"/>
      <c r="H101" s="412"/>
      <c r="I101" s="393"/>
      <c r="J101" s="394"/>
      <c r="K101" s="395"/>
      <c r="L101" s="18"/>
      <c r="M101" s="28"/>
      <c r="N101" s="28"/>
      <c r="O101" s="28"/>
      <c r="P101" s="28"/>
      <c r="Q101" s="28"/>
      <c r="R101" s="28"/>
      <c r="S101" s="29"/>
      <c r="T101" s="28"/>
      <c r="U101" s="295"/>
      <c r="V101" s="299"/>
      <c r="W101" s="2"/>
      <c r="X101" s="1"/>
      <c r="Y101" s="1"/>
      <c r="Z101" s="1"/>
      <c r="AA101" s="1"/>
      <c r="AB101" s="1"/>
      <c r="AC101" s="1"/>
      <c r="AD101" s="1"/>
      <c r="AE101" s="1"/>
      <c r="AF101" s="1"/>
      <c r="AG101" s="5"/>
    </row>
    <row r="102" spans="1:33" ht="24.75" hidden="1" customHeight="1" x14ac:dyDescent="0.3">
      <c r="A102" s="1"/>
      <c r="B102" s="405"/>
      <c r="C102" s="404"/>
      <c r="D102" s="404"/>
      <c r="E102" s="399"/>
      <c r="F102" s="398"/>
      <c r="G102" s="399"/>
      <c r="H102" s="296"/>
      <c r="I102" s="296"/>
      <c r="J102" s="296"/>
      <c r="K102" s="296"/>
      <c r="L102" s="18"/>
      <c r="M102" s="28"/>
      <c r="N102" s="28"/>
      <c r="O102" s="28"/>
      <c r="P102" s="28"/>
      <c r="Q102" s="28"/>
      <c r="R102" s="28"/>
      <c r="S102" s="29"/>
      <c r="T102" s="28"/>
      <c r="U102" s="296"/>
      <c r="V102" s="300"/>
      <c r="W102" s="2"/>
      <c r="X102" s="1"/>
      <c r="Y102" s="1"/>
      <c r="Z102" s="1"/>
      <c r="AA102" s="1"/>
      <c r="AB102" s="1"/>
      <c r="AC102" s="1"/>
      <c r="AD102" s="1"/>
      <c r="AE102" s="1"/>
      <c r="AF102" s="1"/>
      <c r="AG102" s="5"/>
    </row>
    <row r="103" spans="1:33" ht="24.75" hidden="1" customHeight="1" x14ac:dyDescent="0.3">
      <c r="A103" s="1"/>
      <c r="B103" s="406"/>
      <c r="C103" s="407"/>
      <c r="D103" s="407"/>
      <c r="E103" s="408"/>
      <c r="F103" s="414"/>
      <c r="G103" s="408"/>
      <c r="H103" s="298"/>
      <c r="I103" s="298"/>
      <c r="J103" s="298"/>
      <c r="K103" s="298"/>
      <c r="L103" s="30"/>
      <c r="M103" s="27"/>
      <c r="N103" s="27"/>
      <c r="O103" s="27"/>
      <c r="P103" s="27"/>
      <c r="Q103" s="27"/>
      <c r="R103" s="27"/>
      <c r="S103" s="31"/>
      <c r="T103" s="27"/>
      <c r="U103" s="298"/>
      <c r="V103" s="300"/>
      <c r="W103" s="2"/>
      <c r="X103" s="1"/>
      <c r="Y103" s="1"/>
      <c r="Z103" s="1"/>
      <c r="AA103" s="1"/>
      <c r="AB103" s="1"/>
      <c r="AC103" s="1"/>
      <c r="AD103" s="1"/>
      <c r="AE103" s="1"/>
      <c r="AF103" s="1"/>
      <c r="AG103" s="5"/>
    </row>
    <row r="104" spans="1:33" ht="24.75" hidden="1" customHeight="1" x14ac:dyDescent="0.3">
      <c r="A104" s="1"/>
      <c r="B104" s="413"/>
      <c r="C104" s="338"/>
      <c r="D104" s="338"/>
      <c r="E104" s="410"/>
      <c r="F104" s="409"/>
      <c r="G104" s="410"/>
      <c r="H104" s="388"/>
      <c r="I104" s="387"/>
      <c r="J104" s="388"/>
      <c r="K104" s="389"/>
      <c r="L104" s="21"/>
      <c r="M104" s="24"/>
      <c r="N104" s="24"/>
      <c r="O104" s="24"/>
      <c r="P104" s="24"/>
      <c r="Q104" s="24"/>
      <c r="R104" s="24"/>
      <c r="S104" s="25"/>
      <c r="T104" s="24"/>
      <c r="U104" s="25"/>
      <c r="V104" s="32"/>
      <c r="W104" s="2"/>
      <c r="X104" s="1"/>
      <c r="Y104" s="1"/>
      <c r="Z104" s="1"/>
      <c r="AA104" s="1"/>
      <c r="AB104" s="1"/>
      <c r="AC104" s="1"/>
      <c r="AD104" s="1"/>
      <c r="AE104" s="1"/>
      <c r="AF104" s="1"/>
      <c r="AG104" s="5"/>
    </row>
    <row r="105" spans="1:33" ht="24.75" hidden="1" customHeight="1" x14ac:dyDescent="0.3">
      <c r="A105" s="1"/>
      <c r="B105" s="405"/>
      <c r="C105" s="404"/>
      <c r="D105" s="404"/>
      <c r="E105" s="399"/>
      <c r="F105" s="398"/>
      <c r="G105" s="399"/>
      <c r="H105" s="296"/>
      <c r="I105" s="296"/>
      <c r="J105" s="296"/>
      <c r="K105" s="296"/>
      <c r="L105" s="18"/>
      <c r="M105" s="28"/>
      <c r="N105" s="28"/>
      <c r="O105" s="28"/>
      <c r="P105" s="28"/>
      <c r="Q105" s="28"/>
      <c r="R105" s="28"/>
      <c r="S105" s="29"/>
      <c r="T105" s="28"/>
      <c r="U105" s="29"/>
      <c r="V105" s="33"/>
      <c r="W105" s="2"/>
      <c r="X105" s="1"/>
      <c r="Y105" s="1"/>
      <c r="Z105" s="1"/>
      <c r="AA105" s="1"/>
      <c r="AB105" s="1"/>
      <c r="AC105" s="1"/>
      <c r="AD105" s="1"/>
      <c r="AE105" s="1"/>
      <c r="AF105" s="1"/>
      <c r="AG105" s="5"/>
    </row>
    <row r="106" spans="1:33" ht="24.75" hidden="1" customHeight="1" x14ac:dyDescent="0.3">
      <c r="A106" s="1"/>
      <c r="B106" s="405"/>
      <c r="C106" s="404"/>
      <c r="D106" s="404"/>
      <c r="E106" s="399"/>
      <c r="F106" s="400"/>
      <c r="G106" s="401"/>
      <c r="H106" s="297"/>
      <c r="I106" s="297"/>
      <c r="J106" s="297"/>
      <c r="K106" s="297"/>
      <c r="L106" s="18"/>
      <c r="M106" s="28"/>
      <c r="N106" s="28"/>
      <c r="O106" s="28"/>
      <c r="P106" s="28"/>
      <c r="Q106" s="28"/>
      <c r="R106" s="28"/>
      <c r="S106" s="29"/>
      <c r="T106" s="28"/>
      <c r="U106" s="29"/>
      <c r="V106" s="33"/>
      <c r="W106" s="2"/>
      <c r="X106" s="1"/>
      <c r="Y106" s="1"/>
      <c r="Z106" s="1"/>
      <c r="AA106" s="1"/>
      <c r="AB106" s="1"/>
      <c r="AC106" s="1"/>
      <c r="AD106" s="1"/>
      <c r="AE106" s="1"/>
      <c r="AF106" s="1"/>
      <c r="AG106" s="5"/>
    </row>
    <row r="107" spans="1:33" ht="24.75" hidden="1" customHeight="1" x14ac:dyDescent="0.3">
      <c r="A107" s="1"/>
      <c r="B107" s="405"/>
      <c r="C107" s="404"/>
      <c r="D107" s="404"/>
      <c r="E107" s="399"/>
      <c r="F107" s="396"/>
      <c r="G107" s="397"/>
      <c r="H107" s="394"/>
      <c r="I107" s="393"/>
      <c r="J107" s="394"/>
      <c r="K107" s="395"/>
      <c r="L107" s="18"/>
      <c r="M107" s="28"/>
      <c r="N107" s="28"/>
      <c r="O107" s="28"/>
      <c r="P107" s="28"/>
      <c r="Q107" s="28"/>
      <c r="R107" s="28"/>
      <c r="S107" s="29"/>
      <c r="T107" s="28"/>
      <c r="U107" s="29"/>
      <c r="V107" s="33"/>
      <c r="W107" s="2"/>
      <c r="X107" s="1"/>
      <c r="Y107" s="1"/>
      <c r="Z107" s="1"/>
      <c r="AA107" s="1"/>
      <c r="AB107" s="1"/>
      <c r="AC107" s="1"/>
      <c r="AD107" s="1"/>
      <c r="AE107" s="1"/>
      <c r="AF107" s="1"/>
      <c r="AG107" s="5"/>
    </row>
    <row r="108" spans="1:33" ht="24.75" hidden="1" customHeight="1" x14ac:dyDescent="0.3">
      <c r="A108" s="1"/>
      <c r="B108" s="405"/>
      <c r="C108" s="404"/>
      <c r="D108" s="404"/>
      <c r="E108" s="399"/>
      <c r="F108" s="398"/>
      <c r="G108" s="399"/>
      <c r="H108" s="296"/>
      <c r="I108" s="296"/>
      <c r="J108" s="296"/>
      <c r="K108" s="296"/>
      <c r="L108" s="18"/>
      <c r="M108" s="28"/>
      <c r="N108" s="28"/>
      <c r="O108" s="28"/>
      <c r="P108" s="28"/>
      <c r="Q108" s="28"/>
      <c r="R108" s="28"/>
      <c r="S108" s="29"/>
      <c r="T108" s="28"/>
      <c r="U108" s="29"/>
      <c r="V108" s="33"/>
      <c r="W108" s="2"/>
      <c r="X108" s="1"/>
      <c r="Y108" s="1"/>
      <c r="Z108" s="1"/>
      <c r="AA108" s="1"/>
      <c r="AB108" s="1"/>
      <c r="AC108" s="1"/>
      <c r="AD108" s="1"/>
      <c r="AE108" s="1"/>
      <c r="AF108" s="1"/>
      <c r="AG108" s="5"/>
    </row>
    <row r="109" spans="1:33" ht="24.75" hidden="1" customHeight="1" x14ac:dyDescent="0.3">
      <c r="A109" s="1"/>
      <c r="B109" s="405"/>
      <c r="C109" s="404"/>
      <c r="D109" s="404"/>
      <c r="E109" s="399"/>
      <c r="F109" s="400"/>
      <c r="G109" s="401"/>
      <c r="H109" s="297"/>
      <c r="I109" s="297"/>
      <c r="J109" s="297"/>
      <c r="K109" s="297"/>
      <c r="L109" s="18"/>
      <c r="M109" s="28"/>
      <c r="N109" s="28"/>
      <c r="O109" s="28"/>
      <c r="P109" s="28"/>
      <c r="Q109" s="28"/>
      <c r="R109" s="28"/>
      <c r="S109" s="29"/>
      <c r="T109" s="28"/>
      <c r="U109" s="29"/>
      <c r="V109" s="33"/>
      <c r="W109" s="2"/>
      <c r="X109" s="1"/>
      <c r="Y109" s="1"/>
      <c r="Z109" s="1"/>
      <c r="AA109" s="1"/>
      <c r="AB109" s="1"/>
      <c r="AC109" s="1"/>
      <c r="AD109" s="1"/>
      <c r="AE109" s="1"/>
      <c r="AF109" s="1"/>
      <c r="AG109" s="5"/>
    </row>
    <row r="110" spans="1:33" ht="24.75" hidden="1" customHeight="1" x14ac:dyDescent="0.3">
      <c r="A110" s="1"/>
      <c r="B110" s="405"/>
      <c r="C110" s="404"/>
      <c r="D110" s="404"/>
      <c r="E110" s="399"/>
      <c r="F110" s="396"/>
      <c r="G110" s="397"/>
      <c r="H110" s="394"/>
      <c r="I110" s="393"/>
      <c r="J110" s="394"/>
      <c r="K110" s="395"/>
      <c r="L110" s="18"/>
      <c r="M110" s="28"/>
      <c r="N110" s="28"/>
      <c r="O110" s="28"/>
      <c r="P110" s="28"/>
      <c r="Q110" s="28"/>
      <c r="R110" s="28"/>
      <c r="S110" s="29"/>
      <c r="T110" s="28"/>
      <c r="U110" s="29"/>
      <c r="V110" s="33"/>
      <c r="W110" s="2"/>
      <c r="X110" s="1"/>
      <c r="Y110" s="1"/>
      <c r="Z110" s="1"/>
      <c r="AA110" s="1"/>
      <c r="AB110" s="1"/>
      <c r="AC110" s="1"/>
      <c r="AD110" s="1"/>
      <c r="AE110" s="1"/>
      <c r="AF110" s="1"/>
      <c r="AG110" s="5"/>
    </row>
    <row r="111" spans="1:33" ht="27.95" customHeight="1" thickBot="1" x14ac:dyDescent="0.35">
      <c r="A111" s="1"/>
      <c r="B111" s="405"/>
      <c r="C111" s="404"/>
      <c r="D111" s="404"/>
      <c r="E111" s="399"/>
      <c r="F111" s="398"/>
      <c r="G111" s="399"/>
      <c r="H111" s="296"/>
      <c r="I111" s="296"/>
      <c r="J111" s="296"/>
      <c r="K111" s="296"/>
      <c r="L111" s="18"/>
      <c r="M111" s="28"/>
      <c r="N111" s="28"/>
      <c r="O111" s="28"/>
      <c r="P111" s="28"/>
      <c r="Q111" s="28"/>
      <c r="R111" s="28"/>
      <c r="S111" s="29"/>
      <c r="T111" s="28"/>
      <c r="U111" s="29"/>
      <c r="V111" s="33"/>
      <c r="W111" s="2"/>
      <c r="X111" s="1"/>
      <c r="Y111" s="1"/>
      <c r="Z111" s="1"/>
      <c r="AA111" s="1"/>
      <c r="AB111" s="1"/>
      <c r="AC111" s="1"/>
      <c r="AD111" s="1"/>
      <c r="AE111" s="1"/>
      <c r="AF111" s="1"/>
      <c r="AG111" s="5"/>
    </row>
    <row r="112" spans="1:33" ht="54.95" customHeight="1" thickBot="1" x14ac:dyDescent="0.45">
      <c r="A112" s="1"/>
      <c r="B112" s="422" t="s">
        <v>364</v>
      </c>
      <c r="C112" s="423"/>
      <c r="D112" s="423"/>
      <c r="E112" s="423"/>
      <c r="F112" s="423"/>
      <c r="G112" s="423"/>
      <c r="H112" s="423"/>
      <c r="I112" s="423"/>
      <c r="J112" s="423"/>
      <c r="K112" s="423"/>
      <c r="L112" s="423"/>
      <c r="M112" s="423"/>
      <c r="N112" s="423"/>
      <c r="O112" s="423"/>
      <c r="P112" s="423"/>
      <c r="Q112" s="423"/>
      <c r="R112" s="423"/>
      <c r="S112" s="423"/>
      <c r="T112" s="423"/>
      <c r="U112" s="424"/>
      <c r="V112" s="214" t="e">
        <f>SUM(V83:V94)</f>
        <v>#DIV/0!</v>
      </c>
      <c r="W112" s="2"/>
      <c r="X112" s="1"/>
      <c r="Y112" s="1"/>
      <c r="Z112" s="1"/>
      <c r="AA112" s="1"/>
      <c r="AB112" s="1"/>
      <c r="AC112" s="1"/>
      <c r="AD112" s="1"/>
      <c r="AE112" s="1"/>
      <c r="AF112" s="1"/>
      <c r="AG112" s="5"/>
    </row>
    <row r="113" spans="1:33" ht="41.1" customHeight="1" x14ac:dyDescent="0.3">
      <c r="A113" s="1"/>
      <c r="B113" s="15"/>
      <c r="C113" s="15"/>
      <c r="D113" s="15"/>
      <c r="E113" s="34"/>
      <c r="F113" s="34"/>
      <c r="G113" s="34"/>
      <c r="H113" s="34"/>
      <c r="I113" s="34"/>
      <c r="J113" s="34"/>
      <c r="K113" s="34"/>
      <c r="L113" s="34"/>
      <c r="M113" s="34"/>
      <c r="N113" s="34"/>
      <c r="O113" s="34"/>
      <c r="P113" s="34"/>
      <c r="Q113" s="34"/>
      <c r="R113" s="34"/>
      <c r="S113" s="34"/>
      <c r="T113" s="34"/>
      <c r="U113" s="34"/>
      <c r="V113" s="14"/>
      <c r="W113" s="35"/>
      <c r="X113" s="1"/>
      <c r="Y113" s="1"/>
      <c r="Z113" s="1"/>
      <c r="AA113" s="1"/>
      <c r="AB113" s="1"/>
      <c r="AC113" s="1"/>
      <c r="AD113" s="1"/>
      <c r="AE113" s="1"/>
      <c r="AF113" s="1"/>
      <c r="AG113" s="5"/>
    </row>
    <row r="114" spans="1:33" ht="101.1" customHeight="1" x14ac:dyDescent="0.4">
      <c r="A114" s="1"/>
      <c r="B114" s="425" t="s">
        <v>488</v>
      </c>
      <c r="C114" s="331"/>
      <c r="D114" s="331"/>
      <c r="E114" s="331"/>
      <c r="F114" s="331"/>
      <c r="G114" s="331"/>
      <c r="H114" s="331"/>
      <c r="I114" s="331"/>
      <c r="J114" s="331"/>
      <c r="K114" s="331"/>
      <c r="L114" s="331"/>
      <c r="M114" s="331"/>
      <c r="N114" s="331"/>
      <c r="O114" s="331"/>
      <c r="P114" s="331"/>
      <c r="Q114" s="331"/>
      <c r="R114" s="331"/>
      <c r="S114" s="2"/>
      <c r="T114" s="1"/>
      <c r="U114" s="1"/>
      <c r="V114" s="1"/>
      <c r="W114" s="1"/>
      <c r="X114" s="1"/>
      <c r="Y114" s="1"/>
      <c r="Z114" s="1"/>
      <c r="AA114" s="1"/>
      <c r="AB114" s="1"/>
      <c r="AC114" s="3"/>
      <c r="AD114" s="3"/>
      <c r="AE114" s="3"/>
      <c r="AF114" s="3"/>
      <c r="AG114" s="3"/>
    </row>
    <row r="115" spans="1:33" ht="13.5" customHeight="1" x14ac:dyDescent="0.3">
      <c r="A115" s="1"/>
      <c r="B115" s="15"/>
      <c r="C115" s="15"/>
      <c r="D115" s="15"/>
      <c r="E115" s="3"/>
      <c r="F115" s="3"/>
      <c r="G115" s="15"/>
      <c r="H115" s="15"/>
      <c r="I115" s="15"/>
      <c r="J115" s="15"/>
      <c r="K115" s="15"/>
      <c r="L115" s="15"/>
      <c r="M115" s="15"/>
      <c r="N115" s="15"/>
      <c r="O115" s="15"/>
      <c r="P115" s="15"/>
      <c r="Q115" s="15"/>
      <c r="R115" s="15"/>
      <c r="S115" s="15"/>
      <c r="T115" s="15"/>
      <c r="U115" s="14"/>
      <c r="V115" s="14"/>
      <c r="W115" s="2"/>
      <c r="X115" s="1"/>
      <c r="Y115" s="1"/>
      <c r="Z115" s="1"/>
      <c r="AA115" s="1"/>
      <c r="AB115" s="1"/>
      <c r="AC115" s="1"/>
      <c r="AD115" s="1"/>
      <c r="AE115" s="1"/>
      <c r="AF115" s="1"/>
      <c r="AG115" s="5"/>
    </row>
    <row r="116" spans="1:33" ht="31.5" customHeight="1" x14ac:dyDescent="0.4">
      <c r="A116" s="1"/>
      <c r="B116" s="431" t="s">
        <v>289</v>
      </c>
      <c r="C116" s="432"/>
      <c r="D116" s="432"/>
      <c r="E116" s="432"/>
      <c r="F116" s="432"/>
      <c r="G116" s="432"/>
      <c r="H116" s="432"/>
      <c r="I116" s="432"/>
      <c r="J116" s="432"/>
      <c r="K116" s="432"/>
      <c r="L116" s="432"/>
      <c r="M116" s="432"/>
      <c r="N116" s="432"/>
      <c r="O116" s="432"/>
      <c r="P116" s="432"/>
      <c r="Q116" s="432"/>
      <c r="R116" s="433"/>
      <c r="S116" s="434" t="s">
        <v>9</v>
      </c>
      <c r="T116" s="329"/>
      <c r="U116" s="329"/>
      <c r="V116" s="289"/>
      <c r="W116" s="2"/>
      <c r="X116" s="1"/>
      <c r="Y116" s="1"/>
      <c r="Z116" s="1"/>
      <c r="AA116" s="1"/>
      <c r="AB116" s="1"/>
      <c r="AC116" s="1"/>
      <c r="AD116" s="1"/>
      <c r="AE116" s="1"/>
      <c r="AF116" s="1"/>
      <c r="AG116" s="5"/>
    </row>
    <row r="117" spans="1:33" ht="62.25" customHeight="1" x14ac:dyDescent="0.3">
      <c r="A117" s="7"/>
      <c r="B117" s="340" t="s">
        <v>365</v>
      </c>
      <c r="C117" s="338"/>
      <c r="D117" s="338"/>
      <c r="E117" s="341"/>
      <c r="F117" s="340" t="s">
        <v>291</v>
      </c>
      <c r="G117" s="338"/>
      <c r="H117" s="338"/>
      <c r="I117" s="339"/>
      <c r="J117" s="429" t="s">
        <v>11</v>
      </c>
      <c r="K117" s="430" t="s">
        <v>12</v>
      </c>
      <c r="L117" s="436" t="s">
        <v>455</v>
      </c>
      <c r="M117" s="426" t="s">
        <v>292</v>
      </c>
      <c r="N117" s="427"/>
      <c r="O117" s="427"/>
      <c r="P117" s="427"/>
      <c r="Q117" s="428"/>
      <c r="R117" s="429" t="s">
        <v>14</v>
      </c>
      <c r="S117" s="416" t="s">
        <v>293</v>
      </c>
      <c r="T117" s="349" t="s">
        <v>16</v>
      </c>
      <c r="U117" s="290" t="s">
        <v>17</v>
      </c>
      <c r="V117" s="430" t="s">
        <v>18</v>
      </c>
      <c r="W117" s="8"/>
      <c r="X117" s="7"/>
      <c r="Y117" s="7"/>
      <c r="Z117" s="7"/>
      <c r="AA117" s="7"/>
      <c r="AB117" s="7"/>
      <c r="AC117" s="7"/>
      <c r="AD117" s="7"/>
      <c r="AE117" s="7"/>
      <c r="AF117" s="7"/>
      <c r="AG117" s="16"/>
    </row>
    <row r="118" spans="1:33" ht="51" customHeight="1" x14ac:dyDescent="0.3">
      <c r="A118" s="1"/>
      <c r="B118" s="342"/>
      <c r="C118" s="343"/>
      <c r="D118" s="343"/>
      <c r="E118" s="344"/>
      <c r="F118" s="342"/>
      <c r="G118" s="343"/>
      <c r="H118" s="343"/>
      <c r="I118" s="435"/>
      <c r="J118" s="293"/>
      <c r="K118" s="293"/>
      <c r="L118" s="291"/>
      <c r="M118" s="17" t="s">
        <v>19</v>
      </c>
      <c r="N118" s="17" t="s">
        <v>20</v>
      </c>
      <c r="O118" s="17" t="s">
        <v>21</v>
      </c>
      <c r="P118" s="17" t="s">
        <v>22</v>
      </c>
      <c r="Q118" s="17" t="s">
        <v>23</v>
      </c>
      <c r="R118" s="293"/>
      <c r="S118" s="291"/>
      <c r="T118" s="350"/>
      <c r="U118" s="291"/>
      <c r="V118" s="293"/>
      <c r="W118" s="2"/>
      <c r="X118" s="1"/>
      <c r="Y118" s="1"/>
      <c r="Z118" s="1"/>
      <c r="AA118" s="1"/>
      <c r="AB118" s="1"/>
      <c r="AC118" s="1"/>
      <c r="AD118" s="1"/>
      <c r="AE118" s="1"/>
      <c r="AF118" s="1"/>
      <c r="AG118" s="5"/>
    </row>
    <row r="119" spans="1:33" ht="144.94999999999999" customHeight="1" x14ac:dyDescent="0.3">
      <c r="A119" s="1"/>
      <c r="B119" s="367" t="s">
        <v>366</v>
      </c>
      <c r="C119" s="358"/>
      <c r="D119" s="358"/>
      <c r="E119" s="252"/>
      <c r="F119" s="441" t="s">
        <v>367</v>
      </c>
      <c r="G119" s="442"/>
      <c r="H119" s="442"/>
      <c r="I119" s="443"/>
      <c r="J119" s="449"/>
      <c r="K119" s="452">
        <v>0.05</v>
      </c>
      <c r="L119" s="85" t="s">
        <v>32</v>
      </c>
      <c r="M119" s="22" t="s">
        <v>368</v>
      </c>
      <c r="N119" s="10" t="s">
        <v>369</v>
      </c>
      <c r="O119" s="10" t="s">
        <v>370</v>
      </c>
      <c r="P119" s="10" t="s">
        <v>371</v>
      </c>
      <c r="Q119" s="10" t="s">
        <v>372</v>
      </c>
      <c r="R119" s="284" t="s">
        <v>420</v>
      </c>
      <c r="S119" s="418"/>
      <c r="T119" s="184"/>
      <c r="U119" s="302" t="e">
        <f>AVERAGE(T119:T121)</f>
        <v>#DIV/0!</v>
      </c>
      <c r="V119" s="360" t="e">
        <f>U119*K119</f>
        <v>#DIV/0!</v>
      </c>
      <c r="W119" s="2"/>
      <c r="X119" s="1"/>
      <c r="Y119" s="1"/>
      <c r="Z119" s="1"/>
      <c r="AA119" s="1"/>
      <c r="AB119" s="1"/>
      <c r="AC119" s="1"/>
      <c r="AD119" s="1"/>
      <c r="AE119" s="1"/>
      <c r="AF119" s="1"/>
      <c r="AG119" s="5"/>
    </row>
    <row r="120" spans="1:33" ht="158.44999999999999" customHeight="1" x14ac:dyDescent="0.3">
      <c r="A120" s="1"/>
      <c r="B120" s="266"/>
      <c r="C120" s="331"/>
      <c r="D120" s="331"/>
      <c r="E120" s="229"/>
      <c r="F120" s="444"/>
      <c r="G120" s="336"/>
      <c r="H120" s="336"/>
      <c r="I120" s="445"/>
      <c r="J120" s="450"/>
      <c r="K120" s="220"/>
      <c r="L120" s="83" t="s">
        <v>34</v>
      </c>
      <c r="M120" s="36" t="s">
        <v>373</v>
      </c>
      <c r="N120" s="11" t="s">
        <v>374</v>
      </c>
      <c r="O120" s="11" t="s">
        <v>375</v>
      </c>
      <c r="P120" s="11" t="s">
        <v>376</v>
      </c>
      <c r="Q120" s="11" t="s">
        <v>377</v>
      </c>
      <c r="R120" s="282"/>
      <c r="S120" s="220"/>
      <c r="T120" s="184"/>
      <c r="U120" s="220"/>
      <c r="V120" s="306"/>
      <c r="W120" s="2"/>
      <c r="X120" s="1"/>
      <c r="Y120" s="1"/>
      <c r="Z120" s="1"/>
      <c r="AA120" s="1"/>
      <c r="AB120" s="1"/>
      <c r="AC120" s="1"/>
      <c r="AD120" s="1"/>
      <c r="AE120" s="1"/>
      <c r="AF120" s="1"/>
      <c r="AG120" s="5"/>
    </row>
    <row r="121" spans="1:33" ht="176.45" customHeight="1" x14ac:dyDescent="0.3">
      <c r="A121" s="1"/>
      <c r="B121" s="238"/>
      <c r="C121" s="353"/>
      <c r="D121" s="353"/>
      <c r="E121" s="267"/>
      <c r="F121" s="446"/>
      <c r="G121" s="447"/>
      <c r="H121" s="447"/>
      <c r="I121" s="448"/>
      <c r="J121" s="451"/>
      <c r="K121" s="241"/>
      <c r="L121" s="84" t="s">
        <v>36</v>
      </c>
      <c r="M121" s="37" t="s">
        <v>378</v>
      </c>
      <c r="N121" s="37" t="s">
        <v>379</v>
      </c>
      <c r="O121" s="37" t="s">
        <v>380</v>
      </c>
      <c r="P121" s="37" t="s">
        <v>381</v>
      </c>
      <c r="Q121" s="37" t="s">
        <v>382</v>
      </c>
      <c r="R121" s="417"/>
      <c r="S121" s="241"/>
      <c r="T121" s="184"/>
      <c r="U121" s="241"/>
      <c r="V121" s="419"/>
      <c r="W121" s="2"/>
      <c r="X121" s="1"/>
      <c r="Y121" s="1"/>
      <c r="Z121" s="1"/>
      <c r="AA121" s="1"/>
      <c r="AB121" s="1"/>
      <c r="AC121" s="1"/>
      <c r="AD121" s="1"/>
      <c r="AE121" s="1"/>
      <c r="AF121" s="1"/>
      <c r="AG121" s="5"/>
    </row>
    <row r="122" spans="1:33" ht="180.6" customHeight="1" x14ac:dyDescent="0.3">
      <c r="A122" s="19"/>
      <c r="B122" s="463" t="s">
        <v>383</v>
      </c>
      <c r="C122" s="358"/>
      <c r="D122" s="358"/>
      <c r="E122" s="252"/>
      <c r="F122" s="441" t="s">
        <v>384</v>
      </c>
      <c r="G122" s="442"/>
      <c r="H122" s="442"/>
      <c r="I122" s="443"/>
      <c r="J122" s="449"/>
      <c r="K122" s="452">
        <v>0.05</v>
      </c>
      <c r="L122" s="85" t="s">
        <v>32</v>
      </c>
      <c r="M122" s="10" t="s">
        <v>385</v>
      </c>
      <c r="N122" s="38" t="s">
        <v>386</v>
      </c>
      <c r="O122" s="10" t="s">
        <v>387</v>
      </c>
      <c r="P122" s="10" t="s">
        <v>388</v>
      </c>
      <c r="Q122" s="10" t="s">
        <v>389</v>
      </c>
      <c r="R122" s="284" t="s">
        <v>421</v>
      </c>
      <c r="S122" s="418"/>
      <c r="T122" s="184"/>
      <c r="U122" s="302" t="e">
        <f>AVERAGE(T122:T124)</f>
        <v>#DIV/0!</v>
      </c>
      <c r="V122" s="360" t="e">
        <f>U122*K122</f>
        <v>#DIV/0!</v>
      </c>
      <c r="W122" s="2"/>
      <c r="X122" s="1"/>
      <c r="Y122" s="1"/>
      <c r="Z122" s="1"/>
      <c r="AA122" s="1"/>
      <c r="AB122" s="1"/>
      <c r="AC122" s="1"/>
      <c r="AD122" s="1"/>
      <c r="AE122" s="1"/>
      <c r="AF122" s="1"/>
      <c r="AG122" s="5"/>
    </row>
    <row r="123" spans="1:33" ht="167.45" customHeight="1" thickBot="1" x14ac:dyDescent="0.35">
      <c r="A123" s="1"/>
      <c r="B123" s="266"/>
      <c r="C123" s="331"/>
      <c r="D123" s="331"/>
      <c r="E123" s="229"/>
      <c r="F123" s="444"/>
      <c r="G123" s="336"/>
      <c r="H123" s="336"/>
      <c r="I123" s="445"/>
      <c r="J123" s="450"/>
      <c r="K123" s="220"/>
      <c r="L123" s="83" t="s">
        <v>34</v>
      </c>
      <c r="M123" s="13" t="s">
        <v>390</v>
      </c>
      <c r="N123" s="13" t="s">
        <v>459</v>
      </c>
      <c r="O123" s="13" t="s">
        <v>460</v>
      </c>
      <c r="P123" s="13" t="s">
        <v>461</v>
      </c>
      <c r="Q123" s="13" t="s">
        <v>462</v>
      </c>
      <c r="R123" s="282"/>
      <c r="S123" s="220"/>
      <c r="T123" s="184"/>
      <c r="U123" s="220"/>
      <c r="V123" s="306"/>
      <c r="W123" s="2"/>
      <c r="X123" s="1"/>
      <c r="Y123" s="1"/>
      <c r="Z123" s="1"/>
      <c r="AA123" s="1"/>
      <c r="AB123" s="1"/>
      <c r="AC123" s="1"/>
      <c r="AD123" s="1"/>
      <c r="AE123" s="1"/>
      <c r="AF123" s="1"/>
      <c r="AG123" s="5"/>
    </row>
    <row r="124" spans="1:33" ht="31.5" customHeight="1" thickBot="1" x14ac:dyDescent="0.35">
      <c r="A124" s="1"/>
      <c r="B124" s="238"/>
      <c r="C124" s="353"/>
      <c r="D124" s="353"/>
      <c r="E124" s="267"/>
      <c r="F124" s="446"/>
      <c r="G124" s="447"/>
      <c r="H124" s="447"/>
      <c r="I124" s="448"/>
      <c r="J124" s="451"/>
      <c r="K124" s="241"/>
      <c r="L124" s="84" t="s">
        <v>36</v>
      </c>
      <c r="M124" s="39"/>
      <c r="N124" s="39"/>
      <c r="O124" s="39"/>
      <c r="P124" s="39"/>
      <c r="Q124" s="39"/>
      <c r="R124" s="417"/>
      <c r="S124" s="241"/>
      <c r="T124" s="218"/>
      <c r="U124" s="241"/>
      <c r="V124" s="419"/>
      <c r="W124" s="2"/>
      <c r="X124" s="1"/>
      <c r="Y124" s="1"/>
      <c r="Z124" s="1"/>
      <c r="AA124" s="1"/>
      <c r="AB124" s="1"/>
      <c r="AC124" s="1"/>
      <c r="AD124" s="1"/>
      <c r="AE124" s="1"/>
      <c r="AF124" s="1"/>
      <c r="AG124" s="5"/>
    </row>
    <row r="125" spans="1:33" ht="93" customHeight="1" thickBot="1" x14ac:dyDescent="0.35">
      <c r="A125" s="1"/>
      <c r="B125" s="463" t="s">
        <v>391</v>
      </c>
      <c r="C125" s="358"/>
      <c r="D125" s="358"/>
      <c r="E125" s="252"/>
      <c r="F125" s="441" t="s">
        <v>392</v>
      </c>
      <c r="G125" s="442"/>
      <c r="H125" s="442"/>
      <c r="I125" s="443"/>
      <c r="J125" s="449"/>
      <c r="K125" s="452">
        <v>0.05</v>
      </c>
      <c r="L125" s="85" t="s">
        <v>32</v>
      </c>
      <c r="M125" s="10" t="s">
        <v>393</v>
      </c>
      <c r="N125" s="10" t="s">
        <v>394</v>
      </c>
      <c r="O125" s="10" t="s">
        <v>395</v>
      </c>
      <c r="P125" s="10" t="s">
        <v>396</v>
      </c>
      <c r="Q125" s="10" t="s">
        <v>397</v>
      </c>
      <c r="R125" s="284" t="s">
        <v>422</v>
      </c>
      <c r="S125" s="418"/>
      <c r="T125" s="184"/>
      <c r="U125" s="302" t="e">
        <f>AVERAGE(T125:T127)</f>
        <v>#DIV/0!</v>
      </c>
      <c r="V125" s="360" t="e">
        <f>U125*K125</f>
        <v>#DIV/0!</v>
      </c>
      <c r="W125" s="2"/>
      <c r="X125" s="1"/>
      <c r="Y125" s="1"/>
      <c r="Z125" s="1"/>
      <c r="AA125" s="1"/>
      <c r="AB125" s="1"/>
      <c r="AC125" s="1"/>
      <c r="AD125" s="1"/>
      <c r="AE125" s="1"/>
      <c r="AF125" s="1"/>
      <c r="AG125" s="5"/>
    </row>
    <row r="126" spans="1:33" ht="111.6" customHeight="1" x14ac:dyDescent="0.3">
      <c r="A126" s="1"/>
      <c r="B126" s="266"/>
      <c r="C126" s="331"/>
      <c r="D126" s="331"/>
      <c r="E126" s="229"/>
      <c r="F126" s="444"/>
      <c r="G126" s="336"/>
      <c r="H126" s="336"/>
      <c r="I126" s="445"/>
      <c r="J126" s="450"/>
      <c r="K126" s="220"/>
      <c r="L126" s="83" t="s">
        <v>34</v>
      </c>
      <c r="M126" s="13" t="s">
        <v>398</v>
      </c>
      <c r="N126" s="13" t="s">
        <v>399</v>
      </c>
      <c r="O126" s="13" t="s">
        <v>400</v>
      </c>
      <c r="P126" s="13" t="s">
        <v>401</v>
      </c>
      <c r="Q126" s="13" t="s">
        <v>402</v>
      </c>
      <c r="R126" s="282"/>
      <c r="S126" s="220"/>
      <c r="T126" s="184"/>
      <c r="U126" s="220"/>
      <c r="V126" s="306"/>
      <c r="W126" s="2"/>
      <c r="X126" s="1"/>
      <c r="Y126" s="1"/>
      <c r="Z126" s="1"/>
      <c r="AA126" s="1"/>
      <c r="AB126" s="1"/>
      <c r="AC126" s="1"/>
      <c r="AD126" s="1"/>
      <c r="AE126" s="1"/>
      <c r="AF126" s="1"/>
      <c r="AG126" s="5"/>
    </row>
    <row r="127" spans="1:33" ht="116.45" customHeight="1" thickBot="1" x14ac:dyDescent="0.35">
      <c r="A127" s="1"/>
      <c r="B127" s="238"/>
      <c r="C127" s="353"/>
      <c r="D127" s="353"/>
      <c r="E127" s="267"/>
      <c r="F127" s="446"/>
      <c r="G127" s="447"/>
      <c r="H127" s="447"/>
      <c r="I127" s="448"/>
      <c r="J127" s="451"/>
      <c r="K127" s="241"/>
      <c r="L127" s="84" t="s">
        <v>36</v>
      </c>
      <c r="M127" s="40" t="s">
        <v>403</v>
      </c>
      <c r="N127" s="41"/>
      <c r="O127" s="40" t="s">
        <v>404</v>
      </c>
      <c r="P127" s="41"/>
      <c r="Q127" s="40" t="s">
        <v>405</v>
      </c>
      <c r="R127" s="417"/>
      <c r="S127" s="241"/>
      <c r="T127" s="184"/>
      <c r="U127" s="241"/>
      <c r="V127" s="419"/>
      <c r="W127" s="2"/>
      <c r="X127" s="1"/>
      <c r="Y127" s="1"/>
      <c r="Z127" s="1"/>
      <c r="AA127" s="1"/>
      <c r="AB127" s="1"/>
      <c r="AC127" s="1"/>
      <c r="AD127" s="1"/>
      <c r="AE127" s="1"/>
      <c r="AF127" s="1"/>
      <c r="AG127" s="5"/>
    </row>
    <row r="128" spans="1:33" ht="24.75" hidden="1" customHeight="1" x14ac:dyDescent="0.3">
      <c r="A128" s="1"/>
      <c r="B128" s="403"/>
      <c r="C128" s="404"/>
      <c r="D128" s="404"/>
      <c r="E128" s="399"/>
      <c r="F128" s="453"/>
      <c r="G128" s="399"/>
      <c r="H128" s="437"/>
      <c r="I128" s="438"/>
      <c r="J128" s="439"/>
      <c r="K128" s="440"/>
      <c r="L128" s="20"/>
      <c r="M128" s="42"/>
      <c r="N128" s="42"/>
      <c r="O128" s="42"/>
      <c r="P128" s="42"/>
      <c r="Q128" s="42"/>
      <c r="R128" s="26"/>
      <c r="S128" s="43"/>
      <c r="T128" s="26"/>
      <c r="U128" s="420"/>
      <c r="V128" s="421"/>
      <c r="W128" s="2"/>
      <c r="X128" s="1"/>
      <c r="Y128" s="1"/>
      <c r="Z128" s="1"/>
      <c r="AA128" s="1"/>
      <c r="AB128" s="1"/>
      <c r="AC128" s="1"/>
      <c r="AD128" s="1"/>
      <c r="AE128" s="1"/>
      <c r="AF128" s="1"/>
      <c r="AG128" s="5"/>
    </row>
    <row r="129" spans="1:33" ht="24.75" hidden="1" customHeight="1" x14ac:dyDescent="0.3">
      <c r="A129" s="1"/>
      <c r="B129" s="405"/>
      <c r="C129" s="404"/>
      <c r="D129" s="404"/>
      <c r="E129" s="399"/>
      <c r="F129" s="398"/>
      <c r="G129" s="399"/>
      <c r="H129" s="296"/>
      <c r="I129" s="296"/>
      <c r="J129" s="296"/>
      <c r="K129" s="296"/>
      <c r="L129" s="18"/>
      <c r="M129" s="12"/>
      <c r="N129" s="12"/>
      <c r="O129" s="12"/>
      <c r="P129" s="12"/>
      <c r="Q129" s="12"/>
      <c r="R129" s="28"/>
      <c r="S129" s="29"/>
      <c r="T129" s="28"/>
      <c r="U129" s="296"/>
      <c r="V129" s="300"/>
      <c r="W129" s="2"/>
      <c r="X129" s="1"/>
      <c r="Y129" s="1"/>
      <c r="Z129" s="1"/>
      <c r="AA129" s="1"/>
      <c r="AB129" s="1"/>
      <c r="AC129" s="1"/>
      <c r="AD129" s="1"/>
      <c r="AE129" s="1"/>
      <c r="AF129" s="1"/>
      <c r="AG129" s="5"/>
    </row>
    <row r="130" spans="1:33" ht="24.75" hidden="1" customHeight="1" x14ac:dyDescent="0.3">
      <c r="A130" s="1"/>
      <c r="B130" s="405"/>
      <c r="C130" s="404"/>
      <c r="D130" s="404"/>
      <c r="E130" s="399"/>
      <c r="F130" s="400"/>
      <c r="G130" s="401"/>
      <c r="H130" s="297"/>
      <c r="I130" s="297"/>
      <c r="J130" s="297"/>
      <c r="K130" s="297"/>
      <c r="L130" s="18"/>
      <c r="M130" s="12"/>
      <c r="N130" s="12"/>
      <c r="O130" s="12"/>
      <c r="P130" s="12"/>
      <c r="Q130" s="12"/>
      <c r="R130" s="28"/>
      <c r="S130" s="29"/>
      <c r="T130" s="28"/>
      <c r="U130" s="297"/>
      <c r="V130" s="301"/>
      <c r="W130" s="2"/>
      <c r="X130" s="1"/>
      <c r="Y130" s="1"/>
      <c r="Z130" s="1"/>
      <c r="AA130" s="1"/>
      <c r="AB130" s="1"/>
      <c r="AC130" s="1"/>
      <c r="AD130" s="1"/>
      <c r="AE130" s="1"/>
      <c r="AF130" s="1"/>
      <c r="AG130" s="5"/>
    </row>
    <row r="131" spans="1:33" ht="24.75" hidden="1" customHeight="1" x14ac:dyDescent="0.3">
      <c r="A131" s="1"/>
      <c r="B131" s="405"/>
      <c r="C131" s="404"/>
      <c r="D131" s="404"/>
      <c r="E131" s="399"/>
      <c r="F131" s="396"/>
      <c r="G131" s="397"/>
      <c r="H131" s="412"/>
      <c r="I131" s="393"/>
      <c r="J131" s="394"/>
      <c r="K131" s="395"/>
      <c r="L131" s="18"/>
      <c r="M131" s="28"/>
      <c r="N131" s="28"/>
      <c r="O131" s="28"/>
      <c r="P131" s="28"/>
      <c r="Q131" s="28"/>
      <c r="R131" s="28"/>
      <c r="S131" s="29"/>
      <c r="T131" s="28"/>
      <c r="U131" s="295"/>
      <c r="V131" s="415"/>
      <c r="W131" s="2"/>
      <c r="X131" s="1"/>
      <c r="Y131" s="1"/>
      <c r="Z131" s="1"/>
      <c r="AA131" s="1"/>
      <c r="AB131" s="1"/>
      <c r="AC131" s="1"/>
      <c r="AD131" s="1"/>
      <c r="AE131" s="1"/>
      <c r="AF131" s="1"/>
      <c r="AG131" s="5"/>
    </row>
    <row r="132" spans="1:33" ht="24.75" hidden="1" customHeight="1" x14ac:dyDescent="0.3">
      <c r="A132" s="1"/>
      <c r="B132" s="405"/>
      <c r="C132" s="404"/>
      <c r="D132" s="404"/>
      <c r="E132" s="399"/>
      <c r="F132" s="398"/>
      <c r="G132" s="399"/>
      <c r="H132" s="296"/>
      <c r="I132" s="296"/>
      <c r="J132" s="296"/>
      <c r="K132" s="296"/>
      <c r="L132" s="18"/>
      <c r="M132" s="28"/>
      <c r="N132" s="28"/>
      <c r="O132" s="28"/>
      <c r="P132" s="28"/>
      <c r="Q132" s="28"/>
      <c r="R132" s="28"/>
      <c r="S132" s="29"/>
      <c r="T132" s="28"/>
      <c r="U132" s="296"/>
      <c r="V132" s="300"/>
      <c r="W132" s="2"/>
      <c r="X132" s="1"/>
      <c r="Y132" s="1"/>
      <c r="Z132" s="1"/>
      <c r="AA132" s="1"/>
      <c r="AB132" s="1"/>
      <c r="AC132" s="1"/>
      <c r="AD132" s="1"/>
      <c r="AE132" s="1"/>
      <c r="AF132" s="1"/>
      <c r="AG132" s="5"/>
    </row>
    <row r="133" spans="1:33" ht="24.75" hidden="1" customHeight="1" x14ac:dyDescent="0.3">
      <c r="A133" s="1"/>
      <c r="B133" s="405"/>
      <c r="C133" s="404"/>
      <c r="D133" s="404"/>
      <c r="E133" s="399"/>
      <c r="F133" s="400"/>
      <c r="G133" s="401"/>
      <c r="H133" s="297"/>
      <c r="I133" s="297"/>
      <c r="J133" s="297"/>
      <c r="K133" s="297"/>
      <c r="L133" s="18"/>
      <c r="M133" s="28"/>
      <c r="N133" s="28"/>
      <c r="O133" s="28"/>
      <c r="P133" s="28"/>
      <c r="Q133" s="28"/>
      <c r="R133" s="28"/>
      <c r="S133" s="29"/>
      <c r="T133" s="28"/>
      <c r="U133" s="297"/>
      <c r="V133" s="301"/>
      <c r="W133" s="2"/>
      <c r="X133" s="1"/>
      <c r="Y133" s="1"/>
      <c r="Z133" s="1"/>
      <c r="AA133" s="1"/>
      <c r="AB133" s="1"/>
      <c r="AC133" s="1"/>
      <c r="AD133" s="1"/>
      <c r="AE133" s="1"/>
      <c r="AF133" s="1"/>
      <c r="AG133" s="5"/>
    </row>
    <row r="134" spans="1:33" ht="24.75" hidden="1" customHeight="1" x14ac:dyDescent="0.3">
      <c r="A134" s="1"/>
      <c r="B134" s="405"/>
      <c r="C134" s="404"/>
      <c r="D134" s="404"/>
      <c r="E134" s="399"/>
      <c r="F134" s="396"/>
      <c r="G134" s="397"/>
      <c r="H134" s="412"/>
      <c r="I134" s="393"/>
      <c r="J134" s="394"/>
      <c r="K134" s="395"/>
      <c r="L134" s="18"/>
      <c r="M134" s="28"/>
      <c r="N134" s="28"/>
      <c r="O134" s="28"/>
      <c r="P134" s="28"/>
      <c r="Q134" s="28"/>
      <c r="R134" s="28"/>
      <c r="S134" s="29"/>
      <c r="T134" s="28"/>
      <c r="U134" s="295"/>
      <c r="V134" s="415"/>
      <c r="W134" s="2"/>
      <c r="X134" s="1"/>
      <c r="Y134" s="1"/>
      <c r="Z134" s="1"/>
      <c r="AA134" s="1"/>
      <c r="AB134" s="1"/>
      <c r="AC134" s="1"/>
      <c r="AD134" s="1"/>
      <c r="AE134" s="1"/>
      <c r="AF134" s="1"/>
      <c r="AG134" s="5"/>
    </row>
    <row r="135" spans="1:33" ht="24.75" hidden="1" customHeight="1" x14ac:dyDescent="0.3">
      <c r="A135" s="1"/>
      <c r="B135" s="405"/>
      <c r="C135" s="404"/>
      <c r="D135" s="404"/>
      <c r="E135" s="399"/>
      <c r="F135" s="398"/>
      <c r="G135" s="399"/>
      <c r="H135" s="296"/>
      <c r="I135" s="296"/>
      <c r="J135" s="296"/>
      <c r="K135" s="296"/>
      <c r="L135" s="18"/>
      <c r="M135" s="28"/>
      <c r="N135" s="28"/>
      <c r="O135" s="28"/>
      <c r="P135" s="28"/>
      <c r="Q135" s="28"/>
      <c r="R135" s="28"/>
      <c r="S135" s="29"/>
      <c r="T135" s="28"/>
      <c r="U135" s="296"/>
      <c r="V135" s="300"/>
      <c r="W135" s="2"/>
      <c r="X135" s="1"/>
      <c r="Y135" s="1"/>
      <c r="Z135" s="1"/>
      <c r="AA135" s="1"/>
      <c r="AB135" s="1"/>
      <c r="AC135" s="1"/>
      <c r="AD135" s="1"/>
      <c r="AE135" s="1"/>
      <c r="AF135" s="1"/>
      <c r="AG135" s="5"/>
    </row>
    <row r="136" spans="1:33" ht="24.75" hidden="1" customHeight="1" x14ac:dyDescent="0.3">
      <c r="A136" s="1"/>
      <c r="B136" s="405"/>
      <c r="C136" s="404"/>
      <c r="D136" s="404"/>
      <c r="E136" s="399"/>
      <c r="F136" s="400"/>
      <c r="G136" s="401"/>
      <c r="H136" s="297"/>
      <c r="I136" s="297"/>
      <c r="J136" s="297"/>
      <c r="K136" s="297"/>
      <c r="L136" s="30"/>
      <c r="M136" s="27"/>
      <c r="N136" s="27"/>
      <c r="O136" s="27"/>
      <c r="P136" s="27"/>
      <c r="Q136" s="27"/>
      <c r="R136" s="27"/>
      <c r="S136" s="31"/>
      <c r="T136" s="27"/>
      <c r="U136" s="296"/>
      <c r="V136" s="300"/>
      <c r="W136" s="2"/>
      <c r="X136" s="1"/>
      <c r="Y136" s="1"/>
      <c r="Z136" s="1"/>
      <c r="AA136" s="1"/>
      <c r="AB136" s="1"/>
      <c r="AC136" s="1"/>
      <c r="AD136" s="1"/>
      <c r="AE136" s="1"/>
      <c r="AF136" s="1"/>
      <c r="AG136" s="5"/>
    </row>
    <row r="137" spans="1:33" ht="24.75" hidden="1" customHeight="1" x14ac:dyDescent="0.3">
      <c r="A137" s="1"/>
      <c r="B137" s="413"/>
      <c r="C137" s="338"/>
      <c r="D137" s="338"/>
      <c r="E137" s="410"/>
      <c r="F137" s="409"/>
      <c r="G137" s="410"/>
      <c r="H137" s="388"/>
      <c r="I137" s="387"/>
      <c r="J137" s="388"/>
      <c r="K137" s="389"/>
      <c r="L137" s="21"/>
      <c r="M137" s="24"/>
      <c r="N137" s="24"/>
      <c r="O137" s="24"/>
      <c r="P137" s="24"/>
      <c r="Q137" s="24"/>
      <c r="R137" s="24"/>
      <c r="S137" s="25"/>
      <c r="T137" s="24"/>
      <c r="U137" s="25"/>
      <c r="V137" s="44"/>
      <c r="W137" s="2"/>
      <c r="X137" s="1"/>
      <c r="Y137" s="1"/>
      <c r="Z137" s="1"/>
      <c r="AA137" s="1"/>
      <c r="AB137" s="1"/>
      <c r="AC137" s="1"/>
      <c r="AD137" s="1"/>
      <c r="AE137" s="1"/>
      <c r="AF137" s="1"/>
      <c r="AG137" s="5"/>
    </row>
    <row r="138" spans="1:33" ht="24.75" hidden="1" customHeight="1" x14ac:dyDescent="0.3">
      <c r="A138" s="1"/>
      <c r="B138" s="405"/>
      <c r="C138" s="404"/>
      <c r="D138" s="404"/>
      <c r="E138" s="399"/>
      <c r="F138" s="398"/>
      <c r="G138" s="399"/>
      <c r="H138" s="296"/>
      <c r="I138" s="296"/>
      <c r="J138" s="296"/>
      <c r="K138" s="296"/>
      <c r="L138" s="18"/>
      <c r="M138" s="28"/>
      <c r="N138" s="28"/>
      <c r="O138" s="28"/>
      <c r="P138" s="28"/>
      <c r="Q138" s="28"/>
      <c r="R138" s="28"/>
      <c r="S138" s="29"/>
      <c r="T138" s="28"/>
      <c r="U138" s="29"/>
      <c r="V138" s="45"/>
      <c r="W138" s="2"/>
      <c r="X138" s="1"/>
      <c r="Y138" s="1"/>
      <c r="Z138" s="1"/>
      <c r="AA138" s="1"/>
      <c r="AB138" s="1"/>
      <c r="AC138" s="1"/>
      <c r="AD138" s="1"/>
      <c r="AE138" s="1"/>
      <c r="AF138" s="1"/>
      <c r="AG138" s="5"/>
    </row>
    <row r="139" spans="1:33" ht="24.75" hidden="1" customHeight="1" x14ac:dyDescent="0.3">
      <c r="A139" s="1"/>
      <c r="B139" s="405"/>
      <c r="C139" s="404"/>
      <c r="D139" s="404"/>
      <c r="E139" s="399"/>
      <c r="F139" s="400"/>
      <c r="G139" s="401"/>
      <c r="H139" s="297"/>
      <c r="I139" s="297"/>
      <c r="J139" s="297"/>
      <c r="K139" s="297"/>
      <c r="L139" s="18"/>
      <c r="M139" s="28"/>
      <c r="N139" s="28"/>
      <c r="O139" s="28"/>
      <c r="P139" s="28"/>
      <c r="Q139" s="28"/>
      <c r="R139" s="28"/>
      <c r="S139" s="29"/>
      <c r="T139" s="28"/>
      <c r="U139" s="29"/>
      <c r="V139" s="45"/>
      <c r="W139" s="2"/>
      <c r="X139" s="1"/>
      <c r="Y139" s="1"/>
      <c r="Z139" s="1"/>
      <c r="AA139" s="1"/>
      <c r="AB139" s="1"/>
      <c r="AC139" s="1"/>
      <c r="AD139" s="1"/>
      <c r="AE139" s="1"/>
      <c r="AF139" s="1"/>
      <c r="AG139" s="5"/>
    </row>
    <row r="140" spans="1:33" ht="24.75" hidden="1" customHeight="1" x14ac:dyDescent="0.3">
      <c r="A140" s="1"/>
      <c r="B140" s="405"/>
      <c r="C140" s="404"/>
      <c r="D140" s="404"/>
      <c r="E140" s="399"/>
      <c r="F140" s="396"/>
      <c r="G140" s="397"/>
      <c r="H140" s="394"/>
      <c r="I140" s="393"/>
      <c r="J140" s="394"/>
      <c r="K140" s="395"/>
      <c r="L140" s="18"/>
      <c r="M140" s="28"/>
      <c r="N140" s="28"/>
      <c r="O140" s="28"/>
      <c r="P140" s="28"/>
      <c r="Q140" s="28"/>
      <c r="R140" s="28"/>
      <c r="S140" s="29"/>
      <c r="T140" s="28"/>
      <c r="U140" s="29"/>
      <c r="V140" s="45"/>
      <c r="W140" s="2"/>
      <c r="X140" s="1"/>
      <c r="Y140" s="1"/>
      <c r="Z140" s="1"/>
      <c r="AA140" s="1"/>
      <c r="AB140" s="1"/>
      <c r="AC140" s="1"/>
      <c r="AD140" s="1"/>
      <c r="AE140" s="1"/>
      <c r="AF140" s="1"/>
      <c r="AG140" s="5"/>
    </row>
    <row r="141" spans="1:33" ht="24.75" hidden="1" customHeight="1" x14ac:dyDescent="0.3">
      <c r="A141" s="1"/>
      <c r="B141" s="405"/>
      <c r="C141" s="404"/>
      <c r="D141" s="404"/>
      <c r="E141" s="399"/>
      <c r="F141" s="398"/>
      <c r="G141" s="399"/>
      <c r="H141" s="296"/>
      <c r="I141" s="296"/>
      <c r="J141" s="296"/>
      <c r="K141" s="296"/>
      <c r="L141" s="18"/>
      <c r="M141" s="28"/>
      <c r="N141" s="28"/>
      <c r="O141" s="28"/>
      <c r="P141" s="28"/>
      <c r="Q141" s="28"/>
      <c r="R141" s="28"/>
      <c r="S141" s="29"/>
      <c r="T141" s="28"/>
      <c r="U141" s="29"/>
      <c r="V141" s="45"/>
      <c r="W141" s="2"/>
      <c r="X141" s="1"/>
      <c r="Y141" s="1"/>
      <c r="Z141" s="1"/>
      <c r="AA141" s="1"/>
      <c r="AB141" s="1"/>
      <c r="AC141" s="1"/>
      <c r="AD141" s="1"/>
      <c r="AE141" s="1"/>
      <c r="AF141" s="1"/>
      <c r="AG141" s="5"/>
    </row>
    <row r="142" spans="1:33" ht="24.75" hidden="1" customHeight="1" x14ac:dyDescent="0.3">
      <c r="A142" s="1"/>
      <c r="B142" s="405"/>
      <c r="C142" s="404"/>
      <c r="D142" s="404"/>
      <c r="E142" s="399"/>
      <c r="F142" s="400"/>
      <c r="G142" s="401"/>
      <c r="H142" s="297"/>
      <c r="I142" s="297"/>
      <c r="J142" s="297"/>
      <c r="K142" s="297"/>
      <c r="L142" s="18"/>
      <c r="M142" s="28"/>
      <c r="N142" s="28"/>
      <c r="O142" s="28"/>
      <c r="P142" s="28"/>
      <c r="Q142" s="28"/>
      <c r="R142" s="28"/>
      <c r="S142" s="29"/>
      <c r="T142" s="28"/>
      <c r="U142" s="29"/>
      <c r="V142" s="45"/>
      <c r="W142" s="2"/>
      <c r="X142" s="1"/>
      <c r="Y142" s="1"/>
      <c r="Z142" s="1"/>
      <c r="AA142" s="1"/>
      <c r="AB142" s="1"/>
      <c r="AC142" s="1"/>
      <c r="AD142" s="1"/>
      <c r="AE142" s="1"/>
      <c r="AF142" s="1"/>
      <c r="AG142" s="5"/>
    </row>
    <row r="143" spans="1:33" ht="24.75" hidden="1" customHeight="1" x14ac:dyDescent="0.3">
      <c r="A143" s="1"/>
      <c r="B143" s="405"/>
      <c r="C143" s="404"/>
      <c r="D143" s="404"/>
      <c r="E143" s="399"/>
      <c r="F143" s="396"/>
      <c r="G143" s="397"/>
      <c r="H143" s="394"/>
      <c r="I143" s="393"/>
      <c r="J143" s="394"/>
      <c r="K143" s="395"/>
      <c r="L143" s="18"/>
      <c r="M143" s="28"/>
      <c r="N143" s="28"/>
      <c r="O143" s="28"/>
      <c r="P143" s="28"/>
      <c r="Q143" s="28"/>
      <c r="R143" s="28"/>
      <c r="S143" s="29"/>
      <c r="T143" s="28"/>
      <c r="U143" s="29"/>
      <c r="V143" s="45"/>
      <c r="W143" s="2"/>
      <c r="X143" s="1"/>
      <c r="Y143" s="1"/>
      <c r="Z143" s="1"/>
      <c r="AA143" s="1"/>
      <c r="AB143" s="1"/>
      <c r="AC143" s="1"/>
      <c r="AD143" s="1"/>
      <c r="AE143" s="1"/>
      <c r="AF143" s="1"/>
      <c r="AG143" s="5"/>
    </row>
    <row r="144" spans="1:33" ht="24.75" hidden="1" customHeight="1" x14ac:dyDescent="0.3">
      <c r="A144" s="1"/>
      <c r="B144" s="405"/>
      <c r="C144" s="404"/>
      <c r="D144" s="404"/>
      <c r="E144" s="399"/>
      <c r="F144" s="398"/>
      <c r="G144" s="399"/>
      <c r="H144" s="296"/>
      <c r="I144" s="296"/>
      <c r="J144" s="296"/>
      <c r="K144" s="296"/>
      <c r="L144" s="18"/>
      <c r="M144" s="28"/>
      <c r="N144" s="28"/>
      <c r="O144" s="28"/>
      <c r="P144" s="28"/>
      <c r="Q144" s="28"/>
      <c r="R144" s="28"/>
      <c r="S144" s="29"/>
      <c r="T144" s="28"/>
      <c r="U144" s="29"/>
      <c r="V144" s="45"/>
      <c r="W144" s="2"/>
      <c r="X144" s="1"/>
      <c r="Y144" s="1"/>
      <c r="Z144" s="1"/>
      <c r="AA144" s="1"/>
      <c r="AB144" s="1"/>
      <c r="AC144" s="1"/>
      <c r="AD144" s="1"/>
      <c r="AE144" s="1"/>
      <c r="AF144" s="1"/>
      <c r="AG144" s="5"/>
    </row>
    <row r="145" spans="1:33" ht="24.75" hidden="1" customHeight="1" x14ac:dyDescent="0.3">
      <c r="A145" s="1"/>
      <c r="B145" s="460"/>
      <c r="C145" s="461"/>
      <c r="D145" s="461"/>
      <c r="E145" s="401"/>
      <c r="F145" s="400"/>
      <c r="G145" s="401"/>
      <c r="H145" s="297"/>
      <c r="I145" s="297"/>
      <c r="J145" s="297"/>
      <c r="K145" s="297"/>
      <c r="L145" s="30"/>
      <c r="M145" s="27"/>
      <c r="N145" s="27"/>
      <c r="O145" s="27"/>
      <c r="P145" s="27"/>
      <c r="Q145" s="27"/>
      <c r="R145" s="27"/>
      <c r="S145" s="31"/>
      <c r="T145" s="27"/>
      <c r="U145" s="31"/>
      <c r="V145" s="46"/>
      <c r="W145" s="2"/>
      <c r="X145" s="1"/>
      <c r="Y145" s="1"/>
      <c r="Z145" s="1"/>
      <c r="AA145" s="1"/>
      <c r="AB145" s="1"/>
      <c r="AC145" s="1"/>
      <c r="AD145" s="1"/>
      <c r="AE145" s="1"/>
      <c r="AF145" s="1"/>
      <c r="AG145" s="5"/>
    </row>
    <row r="146" spans="1:33" ht="27" customHeight="1" thickBot="1" x14ac:dyDescent="0.45">
      <c r="A146" s="1"/>
      <c r="B146" s="422" t="s">
        <v>406</v>
      </c>
      <c r="C146" s="423"/>
      <c r="D146" s="423"/>
      <c r="E146" s="423"/>
      <c r="F146" s="423"/>
      <c r="G146" s="423"/>
      <c r="H146" s="423"/>
      <c r="I146" s="423"/>
      <c r="J146" s="423"/>
      <c r="K146" s="423"/>
      <c r="L146" s="423"/>
      <c r="M146" s="423"/>
      <c r="N146" s="423"/>
      <c r="O146" s="423"/>
      <c r="P146" s="423"/>
      <c r="Q146" s="423"/>
      <c r="R146" s="423"/>
      <c r="S146" s="423"/>
      <c r="T146" s="423"/>
      <c r="U146" s="462"/>
      <c r="V146" s="215" t="e">
        <f>SUM(V119:V127)</f>
        <v>#DIV/0!</v>
      </c>
      <c r="W146" s="2"/>
      <c r="X146" s="1"/>
      <c r="Y146" s="1"/>
      <c r="Z146" s="1"/>
      <c r="AA146" s="1"/>
      <c r="AB146" s="1"/>
      <c r="AC146" s="1"/>
      <c r="AD146" s="1"/>
      <c r="AE146" s="1"/>
      <c r="AF146" s="1"/>
      <c r="AG146" s="5"/>
    </row>
    <row r="147" spans="1:33" ht="15" customHeight="1" x14ac:dyDescent="0.3">
      <c r="A147" s="1"/>
      <c r="B147" s="47"/>
      <c r="C147" s="47"/>
      <c r="D147" s="47"/>
      <c r="E147" s="48"/>
      <c r="F147" s="48"/>
      <c r="G147" s="6"/>
      <c r="H147" s="49"/>
      <c r="I147" s="50"/>
      <c r="J147" s="50"/>
      <c r="K147" s="50"/>
      <c r="L147" s="50"/>
      <c r="M147" s="51"/>
      <c r="N147" s="51"/>
      <c r="O147" s="47"/>
      <c r="P147" s="47"/>
      <c r="Q147" s="47"/>
      <c r="R147" s="47"/>
      <c r="S147" s="47"/>
      <c r="T147" s="52"/>
      <c r="U147" s="52"/>
      <c r="V147" s="52"/>
      <c r="W147" s="2"/>
      <c r="X147" s="1"/>
      <c r="Y147" s="1"/>
      <c r="Z147" s="1"/>
      <c r="AA147" s="1"/>
      <c r="AB147" s="1"/>
      <c r="AC147" s="1"/>
      <c r="AD147" s="1"/>
      <c r="AE147" s="1"/>
      <c r="AF147" s="1"/>
      <c r="AG147" s="3"/>
    </row>
    <row r="148" spans="1:33" ht="18" customHeight="1" x14ac:dyDescent="0.3">
      <c r="A148" s="1"/>
      <c r="B148" s="51"/>
      <c r="C148" s="51"/>
      <c r="D148" s="51"/>
      <c r="E148" s="53"/>
      <c r="F148" s="53"/>
      <c r="G148" s="6"/>
      <c r="H148" s="6"/>
      <c r="I148" s="54"/>
      <c r="J148" s="54"/>
      <c r="K148" s="54"/>
      <c r="L148" s="54"/>
      <c r="M148" s="51"/>
      <c r="N148" s="51"/>
      <c r="O148" s="51"/>
      <c r="P148" s="51"/>
      <c r="Q148" s="51"/>
      <c r="R148" s="51"/>
      <c r="S148" s="51"/>
      <c r="T148" s="3"/>
      <c r="U148" s="2"/>
      <c r="V148" s="2"/>
      <c r="W148" s="2"/>
      <c r="X148" s="1"/>
      <c r="Y148" s="1"/>
      <c r="Z148" s="1"/>
      <c r="AA148" s="1"/>
      <c r="AB148" s="1"/>
      <c r="AC148" s="1"/>
      <c r="AD148" s="1"/>
      <c r="AE148" s="1"/>
      <c r="AF148" s="1"/>
      <c r="AG148" s="3"/>
    </row>
    <row r="149" spans="1:33" ht="16.5" customHeight="1" x14ac:dyDescent="0.3">
      <c r="A149" s="1"/>
      <c r="B149" s="51"/>
      <c r="C149" s="51"/>
      <c r="D149" s="51"/>
      <c r="E149" s="53"/>
      <c r="F149" s="53"/>
      <c r="G149" s="6"/>
      <c r="H149" s="6"/>
      <c r="I149" s="54"/>
      <c r="J149" s="54"/>
      <c r="K149" s="54"/>
      <c r="L149" s="55"/>
      <c r="M149" s="55"/>
      <c r="N149" s="55"/>
      <c r="O149" s="55"/>
      <c r="P149" s="55"/>
      <c r="Q149" s="55"/>
      <c r="R149" s="55"/>
      <c r="S149" s="55"/>
      <c r="T149" s="55"/>
      <c r="U149" s="2"/>
      <c r="V149" s="2"/>
      <c r="W149" s="2"/>
      <c r="X149" s="1"/>
      <c r="Y149" s="1"/>
      <c r="Z149" s="1"/>
      <c r="AA149" s="1"/>
      <c r="AB149" s="1"/>
      <c r="AC149" s="1"/>
      <c r="AD149" s="1"/>
      <c r="AE149" s="1"/>
      <c r="AF149" s="1"/>
      <c r="AG149" s="3"/>
    </row>
    <row r="150" spans="1:33" ht="15.75" customHeight="1" x14ac:dyDescent="0.4">
      <c r="A150" s="1"/>
      <c r="B150" s="137"/>
      <c r="C150" s="137"/>
      <c r="D150" s="137"/>
      <c r="E150" s="138"/>
      <c r="F150" s="138"/>
      <c r="G150" s="139"/>
      <c r="H150" s="137"/>
      <c r="I150" s="140"/>
      <c r="J150" s="140"/>
      <c r="K150" s="140"/>
      <c r="L150" s="141"/>
      <c r="M150" s="141"/>
      <c r="N150" s="141"/>
      <c r="O150" s="141"/>
      <c r="P150" s="141"/>
      <c r="Q150" s="141"/>
      <c r="R150" s="55"/>
      <c r="S150" s="55"/>
      <c r="T150" s="55"/>
      <c r="U150" s="2"/>
      <c r="V150" s="2"/>
      <c r="W150" s="2"/>
      <c r="X150" s="1"/>
      <c r="Y150" s="1"/>
      <c r="Z150" s="1"/>
      <c r="AA150" s="1"/>
      <c r="AB150" s="1"/>
      <c r="AC150" s="1"/>
      <c r="AD150" s="1"/>
      <c r="AE150" s="1"/>
      <c r="AF150" s="1"/>
      <c r="AG150" s="3"/>
    </row>
    <row r="151" spans="1:33" ht="13.5" customHeight="1" x14ac:dyDescent="0.4">
      <c r="A151" s="1"/>
      <c r="B151" s="137"/>
      <c r="C151" s="137"/>
      <c r="D151" s="454">
        <f>F4</f>
        <v>0</v>
      </c>
      <c r="E151" s="455"/>
      <c r="F151" s="278"/>
      <c r="G151" s="137"/>
      <c r="H151" s="137"/>
      <c r="I151" s="464" t="s">
        <v>450</v>
      </c>
      <c r="J151" s="465"/>
      <c r="K151" s="465"/>
      <c r="L151" s="466"/>
      <c r="M151" s="141"/>
      <c r="N151" s="464" t="s">
        <v>449</v>
      </c>
      <c r="O151" s="466"/>
      <c r="P151" s="142"/>
      <c r="Q151" s="141"/>
      <c r="R151" s="55"/>
      <c r="S151" s="55"/>
      <c r="T151" s="55"/>
      <c r="U151" s="2"/>
      <c r="V151" s="2"/>
      <c r="W151" s="2"/>
      <c r="X151" s="1"/>
      <c r="Y151" s="1"/>
      <c r="Z151" s="1"/>
      <c r="AA151" s="1"/>
      <c r="AB151" s="1"/>
      <c r="AC151" s="1"/>
      <c r="AD151" s="1"/>
      <c r="AE151" s="1"/>
      <c r="AF151" s="1"/>
      <c r="AG151" s="3"/>
    </row>
    <row r="152" spans="1:33" ht="13.5" customHeight="1" x14ac:dyDescent="0.4">
      <c r="A152" s="1"/>
      <c r="B152" s="137"/>
      <c r="C152" s="137"/>
      <c r="D152" s="254"/>
      <c r="E152" s="456"/>
      <c r="F152" s="255"/>
      <c r="G152" s="137"/>
      <c r="H152" s="137"/>
      <c r="I152" s="467"/>
      <c r="J152" s="468"/>
      <c r="K152" s="468"/>
      <c r="L152" s="469"/>
      <c r="M152" s="141"/>
      <c r="N152" s="467"/>
      <c r="O152" s="469"/>
      <c r="P152" s="142"/>
      <c r="Q152" s="141"/>
      <c r="R152" s="55"/>
      <c r="S152" s="55"/>
      <c r="T152" s="55"/>
      <c r="U152" s="2"/>
      <c r="V152" s="2"/>
      <c r="W152" s="2"/>
      <c r="X152" s="1"/>
      <c r="Y152" s="1"/>
      <c r="Z152" s="1"/>
      <c r="AA152" s="1"/>
      <c r="AB152" s="1"/>
      <c r="AC152" s="1"/>
      <c r="AD152" s="1"/>
      <c r="AE152" s="1"/>
      <c r="AF152" s="1"/>
      <c r="AG152" s="3"/>
    </row>
    <row r="153" spans="1:33" ht="26.1" customHeight="1" x14ac:dyDescent="0.4">
      <c r="A153" s="1"/>
      <c r="B153" s="137"/>
      <c r="C153" s="137"/>
      <c r="D153" s="457" t="s">
        <v>407</v>
      </c>
      <c r="E153" s="458"/>
      <c r="F153" s="459"/>
      <c r="G153" s="137"/>
      <c r="H153" s="137"/>
      <c r="I153" s="470" t="s">
        <v>408</v>
      </c>
      <c r="J153" s="458"/>
      <c r="K153" s="458"/>
      <c r="L153" s="459"/>
      <c r="M153" s="137"/>
      <c r="N153" s="470" t="s">
        <v>409</v>
      </c>
      <c r="O153" s="459"/>
      <c r="P153" s="142"/>
      <c r="Q153" s="141"/>
      <c r="R153" s="51"/>
      <c r="S153" s="51"/>
      <c r="T153" s="51"/>
      <c r="U153" s="2"/>
      <c r="V153" s="2"/>
      <c r="W153" s="2"/>
      <c r="X153" s="1"/>
      <c r="Y153" s="1"/>
      <c r="Z153" s="1"/>
      <c r="AA153" s="1"/>
      <c r="AB153" s="1"/>
      <c r="AC153" s="1"/>
      <c r="AD153" s="1"/>
      <c r="AE153" s="1"/>
      <c r="AF153" s="1"/>
      <c r="AG153" s="3"/>
    </row>
    <row r="154" spans="1:33" ht="13.5" customHeight="1" x14ac:dyDescent="0.4">
      <c r="A154" s="1"/>
      <c r="B154" s="137"/>
      <c r="C154" s="137"/>
      <c r="D154" s="143"/>
      <c r="E154" s="137"/>
      <c r="F154" s="137"/>
      <c r="G154" s="137"/>
      <c r="H154" s="137"/>
      <c r="I154" s="137"/>
      <c r="J154" s="137"/>
      <c r="K154" s="137"/>
      <c r="L154" s="137"/>
      <c r="M154" s="137"/>
      <c r="N154" s="137"/>
      <c r="O154" s="141"/>
      <c r="P154" s="141"/>
      <c r="Q154" s="141"/>
      <c r="R154" s="51"/>
      <c r="S154" s="51"/>
      <c r="T154" s="51"/>
      <c r="U154" s="51"/>
      <c r="V154" s="51"/>
      <c r="W154" s="2"/>
      <c r="X154" s="1"/>
      <c r="Y154" s="1"/>
      <c r="Z154" s="1"/>
      <c r="AA154" s="1"/>
      <c r="AB154" s="1"/>
      <c r="AC154" s="1"/>
      <c r="AD154" s="1"/>
      <c r="AE154" s="1"/>
      <c r="AF154" s="1"/>
      <c r="AG154" s="3"/>
    </row>
    <row r="155" spans="1:33" ht="13.5" customHeight="1" x14ac:dyDescent="0.3">
      <c r="A155" s="1"/>
      <c r="B155" s="51"/>
      <c r="C155" s="51"/>
      <c r="D155" s="51"/>
      <c r="E155" s="51"/>
      <c r="F155" s="51"/>
      <c r="G155" s="58"/>
      <c r="H155" s="51"/>
      <c r="I155" s="57"/>
      <c r="J155" s="57"/>
      <c r="K155" s="57"/>
      <c r="L155" s="57"/>
      <c r="M155" s="51"/>
      <c r="N155" s="51"/>
      <c r="O155" s="51"/>
      <c r="P155" s="51"/>
      <c r="Q155" s="51"/>
      <c r="R155" s="51"/>
      <c r="S155" s="51"/>
      <c r="T155" s="51"/>
      <c r="U155" s="51"/>
      <c r="V155" s="51"/>
      <c r="W155" s="2"/>
      <c r="X155" s="1"/>
      <c r="Y155" s="1"/>
      <c r="Z155" s="1"/>
      <c r="AA155" s="1"/>
      <c r="AB155" s="1"/>
      <c r="AC155" s="1"/>
      <c r="AD155" s="1"/>
      <c r="AE155" s="1"/>
      <c r="AF155" s="1"/>
      <c r="AG155" s="3"/>
    </row>
    <row r="156" spans="1:33" ht="13.5" customHeight="1" x14ac:dyDescent="0.3">
      <c r="A156" s="1"/>
      <c r="B156" s="51"/>
      <c r="C156" s="51"/>
      <c r="D156" s="51"/>
      <c r="E156" s="51"/>
      <c r="F156" s="51"/>
      <c r="G156" s="58"/>
      <c r="H156" s="51"/>
      <c r="I156" s="57"/>
      <c r="J156" s="57"/>
      <c r="K156" s="57"/>
      <c r="L156" s="57"/>
      <c r="M156" s="51"/>
      <c r="N156" s="51"/>
      <c r="O156" s="51"/>
      <c r="P156" s="51"/>
      <c r="Q156" s="51"/>
      <c r="R156" s="51"/>
      <c r="S156" s="51"/>
      <c r="T156" s="51"/>
      <c r="U156" s="51"/>
      <c r="V156" s="51"/>
      <c r="W156" s="2"/>
      <c r="X156" s="1"/>
      <c r="Y156" s="1"/>
      <c r="Z156" s="1"/>
      <c r="AA156" s="1"/>
      <c r="AB156" s="1"/>
      <c r="AC156" s="1"/>
      <c r="AD156" s="1"/>
      <c r="AE156" s="1"/>
      <c r="AF156" s="1"/>
      <c r="AG156" s="3"/>
    </row>
    <row r="157" spans="1:33" ht="13.5" customHeight="1" x14ac:dyDescent="0.3">
      <c r="A157" s="1"/>
      <c r="B157" s="51"/>
      <c r="C157" s="51"/>
      <c r="D157" s="51"/>
      <c r="E157" s="51"/>
      <c r="F157" s="51"/>
      <c r="G157" s="58"/>
      <c r="H157" s="51"/>
      <c r="I157" s="57"/>
      <c r="J157" s="57"/>
      <c r="K157" s="57"/>
      <c r="L157" s="57"/>
      <c r="M157" s="51"/>
      <c r="N157" s="51"/>
      <c r="O157" s="51"/>
      <c r="P157" s="51"/>
      <c r="Q157" s="51"/>
      <c r="R157" s="51"/>
      <c r="S157" s="51"/>
      <c r="T157" s="51"/>
      <c r="U157" s="51"/>
      <c r="V157" s="51"/>
      <c r="W157" s="2"/>
      <c r="X157" s="1"/>
      <c r="Y157" s="1"/>
      <c r="Z157" s="1"/>
      <c r="AA157" s="1"/>
      <c r="AB157" s="1"/>
      <c r="AC157" s="1"/>
      <c r="AD157" s="1"/>
      <c r="AE157" s="1"/>
      <c r="AF157" s="1"/>
      <c r="AG157" s="3"/>
    </row>
    <row r="158" spans="1:33" ht="13.5" customHeight="1" x14ac:dyDescent="0.3">
      <c r="A158" s="1"/>
      <c r="B158" s="51"/>
      <c r="C158" s="51"/>
      <c r="D158" s="51"/>
      <c r="E158" s="51"/>
      <c r="F158" s="51"/>
      <c r="G158" s="58"/>
      <c r="H158" s="51"/>
      <c r="I158" s="57"/>
      <c r="J158" s="57"/>
      <c r="K158" s="57"/>
      <c r="L158" s="57"/>
      <c r="M158" s="51"/>
      <c r="N158" s="51"/>
      <c r="O158" s="51"/>
      <c r="P158" s="51"/>
      <c r="Q158" s="51"/>
      <c r="R158" s="51"/>
      <c r="S158" s="51"/>
      <c r="T158" s="51"/>
      <c r="U158" s="51"/>
      <c r="V158" s="51"/>
      <c r="W158" s="2"/>
      <c r="X158" s="1"/>
      <c r="Y158" s="1"/>
      <c r="Z158" s="1"/>
      <c r="AA158" s="1"/>
      <c r="AB158" s="1"/>
      <c r="AC158" s="1"/>
      <c r="AD158" s="1"/>
      <c r="AE158" s="1"/>
      <c r="AF158" s="1"/>
      <c r="AG158" s="3"/>
    </row>
    <row r="159" spans="1:33" ht="13.5" customHeight="1" x14ac:dyDescent="0.3">
      <c r="A159" s="1"/>
      <c r="B159" s="51"/>
      <c r="C159" s="51"/>
      <c r="D159" s="51"/>
      <c r="E159" s="51"/>
      <c r="F159" s="51"/>
      <c r="G159" s="58"/>
      <c r="H159" s="51"/>
      <c r="I159" s="57"/>
      <c r="J159" s="57"/>
      <c r="K159" s="57"/>
      <c r="L159" s="57"/>
      <c r="M159" s="51"/>
      <c r="N159" s="51"/>
      <c r="O159" s="51"/>
      <c r="P159" s="51"/>
      <c r="Q159" s="51"/>
      <c r="R159" s="51"/>
      <c r="S159" s="51"/>
      <c r="T159" s="51"/>
      <c r="U159" s="51"/>
      <c r="V159" s="51"/>
      <c r="W159" s="2"/>
      <c r="X159" s="1"/>
      <c r="Y159" s="1"/>
      <c r="Z159" s="1"/>
      <c r="AA159" s="1"/>
      <c r="AB159" s="1"/>
      <c r="AC159" s="1"/>
      <c r="AD159" s="1"/>
      <c r="AE159" s="1"/>
      <c r="AF159" s="1"/>
      <c r="AG159" s="3"/>
    </row>
    <row r="160" spans="1:33" ht="13.5" customHeight="1" x14ac:dyDescent="0.3">
      <c r="A160" s="1"/>
      <c r="B160" s="51"/>
      <c r="C160" s="51"/>
      <c r="D160" s="51"/>
      <c r="E160" s="51"/>
      <c r="F160" s="51"/>
      <c r="G160" s="58"/>
      <c r="H160" s="51"/>
      <c r="I160" s="57"/>
      <c r="J160" s="57"/>
      <c r="K160" s="57"/>
      <c r="L160" s="57"/>
      <c r="M160" s="51"/>
      <c r="N160" s="51"/>
      <c r="O160" s="51"/>
      <c r="P160" s="51"/>
      <c r="Q160" s="51"/>
      <c r="R160" s="51"/>
      <c r="S160" s="51"/>
      <c r="T160" s="51"/>
      <c r="U160" s="51"/>
      <c r="V160" s="51"/>
      <c r="W160" s="2"/>
      <c r="X160" s="1"/>
      <c r="Y160" s="1"/>
      <c r="Z160" s="1"/>
      <c r="AA160" s="1"/>
      <c r="AB160" s="1"/>
      <c r="AC160" s="1"/>
      <c r="AD160" s="1"/>
      <c r="AE160" s="1"/>
      <c r="AF160" s="1"/>
      <c r="AG160" s="3"/>
    </row>
    <row r="161" spans="1:33" ht="13.5" customHeight="1" x14ac:dyDescent="0.3">
      <c r="A161" s="1"/>
      <c r="B161" s="51"/>
      <c r="C161" s="51"/>
      <c r="D161" s="51"/>
      <c r="E161" s="51"/>
      <c r="F161" s="51"/>
      <c r="G161" s="58"/>
      <c r="H161" s="51"/>
      <c r="I161" s="57"/>
      <c r="J161" s="57"/>
      <c r="K161" s="57"/>
      <c r="L161" s="57"/>
      <c r="M161" s="51"/>
      <c r="N161" s="51"/>
      <c r="O161" s="51"/>
      <c r="P161" s="51"/>
      <c r="Q161" s="51"/>
      <c r="R161" s="51"/>
      <c r="S161" s="51"/>
      <c r="T161" s="51"/>
      <c r="U161" s="51"/>
      <c r="V161" s="51"/>
      <c r="W161" s="2"/>
      <c r="X161" s="1"/>
      <c r="Y161" s="1"/>
      <c r="Z161" s="1"/>
      <c r="AA161" s="1"/>
      <c r="AB161" s="1"/>
      <c r="AC161" s="1"/>
      <c r="AD161" s="1"/>
      <c r="AE161" s="1"/>
      <c r="AF161" s="1"/>
      <c r="AG161" s="3"/>
    </row>
    <row r="162" spans="1:33" ht="13.5" customHeight="1" x14ac:dyDescent="0.3">
      <c r="A162" s="1"/>
      <c r="B162" s="51"/>
      <c r="C162" s="51"/>
      <c r="D162" s="51"/>
      <c r="E162" s="51"/>
      <c r="F162" s="51"/>
      <c r="G162" s="58"/>
      <c r="H162" s="51"/>
      <c r="I162" s="57"/>
      <c r="J162" s="57"/>
      <c r="K162" s="57"/>
      <c r="L162" s="57"/>
      <c r="M162" s="51"/>
      <c r="N162" s="51"/>
      <c r="O162" s="51"/>
      <c r="P162" s="51"/>
      <c r="Q162" s="51"/>
      <c r="R162" s="51"/>
      <c r="S162" s="51"/>
      <c r="T162" s="51"/>
      <c r="U162" s="51"/>
      <c r="V162" s="51"/>
      <c r="W162" s="2"/>
      <c r="X162" s="1"/>
      <c r="Y162" s="1"/>
      <c r="Z162" s="1"/>
      <c r="AA162" s="1"/>
      <c r="AB162" s="1"/>
      <c r="AC162" s="1"/>
      <c r="AD162" s="1"/>
      <c r="AE162" s="1"/>
      <c r="AF162" s="1"/>
      <c r="AG162" s="3"/>
    </row>
    <row r="163" spans="1:33" ht="13.5" customHeight="1" x14ac:dyDescent="0.3">
      <c r="A163" s="1"/>
      <c r="B163" s="51"/>
      <c r="C163" s="51"/>
      <c r="D163" s="51"/>
      <c r="E163" s="51"/>
      <c r="F163" s="51"/>
      <c r="G163" s="58"/>
      <c r="H163" s="51"/>
      <c r="I163" s="57"/>
      <c r="J163" s="57"/>
      <c r="K163" s="57"/>
      <c r="L163" s="57"/>
      <c r="M163" s="51"/>
      <c r="N163" s="51"/>
      <c r="O163" s="51"/>
      <c r="P163" s="51"/>
      <c r="Q163" s="51"/>
      <c r="R163" s="51"/>
      <c r="S163" s="51"/>
      <c r="T163" s="51"/>
      <c r="U163" s="51"/>
      <c r="V163" s="51"/>
      <c r="W163" s="2"/>
      <c r="X163" s="1"/>
      <c r="Y163" s="1"/>
      <c r="Z163" s="1"/>
      <c r="AA163" s="1"/>
      <c r="AB163" s="1"/>
      <c r="AC163" s="1"/>
      <c r="AD163" s="1"/>
      <c r="AE163" s="1"/>
      <c r="AF163" s="1"/>
      <c r="AG163" s="3"/>
    </row>
    <row r="164" spans="1:33" ht="13.5" customHeight="1" x14ac:dyDescent="0.3">
      <c r="A164" s="1"/>
      <c r="B164" s="51"/>
      <c r="C164" s="51"/>
      <c r="D164" s="51"/>
      <c r="E164" s="51"/>
      <c r="F164" s="51"/>
      <c r="G164" s="58"/>
      <c r="H164" s="51"/>
      <c r="I164" s="57"/>
      <c r="J164" s="57"/>
      <c r="K164" s="57"/>
      <c r="L164" s="57"/>
      <c r="M164" s="51"/>
      <c r="N164" s="51"/>
      <c r="O164" s="51"/>
      <c r="P164" s="51"/>
      <c r="Q164" s="51"/>
      <c r="R164" s="51"/>
      <c r="S164" s="51"/>
      <c r="T164" s="51"/>
      <c r="U164" s="51"/>
      <c r="V164" s="51"/>
      <c r="W164" s="2"/>
      <c r="X164" s="1"/>
      <c r="Y164" s="1"/>
      <c r="Z164" s="1"/>
      <c r="AA164" s="1"/>
      <c r="AB164" s="1"/>
      <c r="AC164" s="1"/>
      <c r="AD164" s="1"/>
      <c r="AE164" s="1"/>
      <c r="AF164" s="1"/>
      <c r="AG164" s="3"/>
    </row>
    <row r="165" spans="1:33" ht="13.5" customHeight="1" x14ac:dyDescent="0.3">
      <c r="A165" s="1"/>
      <c r="B165" s="51"/>
      <c r="C165" s="51"/>
      <c r="D165" s="51"/>
      <c r="E165" s="51"/>
      <c r="F165" s="51"/>
      <c r="G165" s="58"/>
      <c r="H165" s="51"/>
      <c r="I165" s="57"/>
      <c r="J165" s="57"/>
      <c r="K165" s="57"/>
      <c r="L165" s="57"/>
      <c r="M165" s="51"/>
      <c r="N165" s="51"/>
      <c r="O165" s="51"/>
      <c r="P165" s="51"/>
      <c r="Q165" s="51"/>
      <c r="R165" s="51"/>
      <c r="S165" s="51"/>
      <c r="T165" s="51"/>
      <c r="U165" s="51"/>
      <c r="V165" s="51"/>
      <c r="W165" s="2"/>
      <c r="X165" s="1"/>
      <c r="Y165" s="1"/>
      <c r="Z165" s="1"/>
      <c r="AA165" s="1"/>
      <c r="AB165" s="1"/>
      <c r="AC165" s="1"/>
      <c r="AD165" s="1"/>
      <c r="AE165" s="1"/>
      <c r="AF165" s="1"/>
      <c r="AG165" s="3"/>
    </row>
    <row r="166" spans="1:33" ht="13.5" customHeight="1" x14ac:dyDescent="0.3">
      <c r="A166" s="1"/>
      <c r="B166" s="51"/>
      <c r="C166" s="51"/>
      <c r="D166" s="51"/>
      <c r="E166" s="51"/>
      <c r="F166" s="51"/>
      <c r="G166" s="58"/>
      <c r="H166" s="51"/>
      <c r="I166" s="57"/>
      <c r="J166" s="57"/>
      <c r="K166" s="57"/>
      <c r="L166" s="57"/>
      <c r="M166" s="51"/>
      <c r="N166" s="51"/>
      <c r="O166" s="51"/>
      <c r="P166" s="51"/>
      <c r="Q166" s="51"/>
      <c r="R166" s="51"/>
      <c r="S166" s="51"/>
      <c r="T166" s="51"/>
      <c r="U166" s="51"/>
      <c r="V166" s="51"/>
      <c r="W166" s="2"/>
      <c r="X166" s="1"/>
      <c r="Y166" s="1"/>
      <c r="Z166" s="1"/>
      <c r="AA166" s="1"/>
      <c r="AB166" s="1"/>
      <c r="AC166" s="1"/>
      <c r="AD166" s="1"/>
      <c r="AE166" s="1"/>
      <c r="AF166" s="1"/>
      <c r="AG166" s="3"/>
    </row>
    <row r="167" spans="1:33" ht="13.5" customHeight="1" x14ac:dyDescent="0.3">
      <c r="A167" s="1"/>
      <c r="B167" s="51"/>
      <c r="C167" s="51"/>
      <c r="D167" s="51"/>
      <c r="E167" s="51"/>
      <c r="F167" s="51"/>
      <c r="G167" s="58"/>
      <c r="H167" s="51"/>
      <c r="I167" s="57"/>
      <c r="J167" s="57"/>
      <c r="K167" s="57"/>
      <c r="L167" s="57"/>
      <c r="M167" s="51"/>
      <c r="N167" s="51"/>
      <c r="O167" s="51"/>
      <c r="P167" s="51"/>
      <c r="Q167" s="51"/>
      <c r="R167" s="51"/>
      <c r="S167" s="51"/>
      <c r="T167" s="51"/>
      <c r="U167" s="51"/>
      <c r="V167" s="51"/>
      <c r="W167" s="2"/>
      <c r="X167" s="1"/>
      <c r="Y167" s="1"/>
      <c r="Z167" s="1"/>
      <c r="AA167" s="1"/>
      <c r="AB167" s="1"/>
      <c r="AC167" s="1"/>
      <c r="AD167" s="1"/>
      <c r="AE167" s="1"/>
      <c r="AF167" s="1"/>
      <c r="AG167" s="3"/>
    </row>
    <row r="168" spans="1:33" ht="13.5" customHeight="1" x14ac:dyDescent="0.3">
      <c r="A168" s="1"/>
      <c r="B168" s="51"/>
      <c r="C168" s="51"/>
      <c r="D168" s="51"/>
      <c r="E168" s="51"/>
      <c r="F168" s="51"/>
      <c r="G168" s="58"/>
      <c r="H168" s="51"/>
      <c r="I168" s="57"/>
      <c r="J168" s="57"/>
      <c r="K168" s="57"/>
      <c r="L168" s="57"/>
      <c r="M168" s="51"/>
      <c r="N168" s="51"/>
      <c r="O168" s="51"/>
      <c r="P168" s="51"/>
      <c r="Q168" s="51"/>
      <c r="R168" s="51"/>
      <c r="S168" s="51"/>
      <c r="T168" s="51"/>
      <c r="U168" s="51"/>
      <c r="V168" s="51"/>
      <c r="W168" s="2"/>
      <c r="X168" s="1"/>
      <c r="Y168" s="1"/>
      <c r="Z168" s="1"/>
      <c r="AA168" s="1"/>
      <c r="AB168" s="1"/>
      <c r="AC168" s="1"/>
      <c r="AD168" s="1"/>
      <c r="AE168" s="1"/>
      <c r="AF168" s="1"/>
      <c r="AG168" s="3"/>
    </row>
    <row r="169" spans="1:33" ht="13.5" customHeight="1" x14ac:dyDescent="0.3">
      <c r="A169" s="1"/>
      <c r="B169" s="51"/>
      <c r="C169" s="51"/>
      <c r="D169" s="51"/>
      <c r="E169" s="51"/>
      <c r="F169" s="51"/>
      <c r="G169" s="58"/>
      <c r="H169" s="51"/>
      <c r="I169" s="57"/>
      <c r="J169" s="57"/>
      <c r="K169" s="57"/>
      <c r="L169" s="57"/>
      <c r="M169" s="51"/>
      <c r="N169" s="51"/>
      <c r="O169" s="51"/>
      <c r="P169" s="51"/>
      <c r="Q169" s="51"/>
      <c r="R169" s="51"/>
      <c r="S169" s="51"/>
      <c r="T169" s="51"/>
      <c r="U169" s="51"/>
      <c r="V169" s="51"/>
      <c r="W169" s="2"/>
      <c r="X169" s="1"/>
      <c r="Y169" s="1"/>
      <c r="Z169" s="1"/>
      <c r="AA169" s="1"/>
      <c r="AB169" s="1"/>
      <c r="AC169" s="1"/>
      <c r="AD169" s="1"/>
      <c r="AE169" s="1"/>
      <c r="AF169" s="1"/>
      <c r="AG169" s="3"/>
    </row>
    <row r="170" spans="1:33" ht="13.5" customHeight="1" x14ac:dyDescent="0.3">
      <c r="A170" s="1"/>
      <c r="B170" s="51"/>
      <c r="C170" s="51"/>
      <c r="D170" s="51"/>
      <c r="E170" s="51"/>
      <c r="F170" s="51"/>
      <c r="G170" s="58"/>
      <c r="H170" s="51"/>
      <c r="I170" s="57"/>
      <c r="J170" s="57"/>
      <c r="K170" s="57"/>
      <c r="L170" s="57"/>
      <c r="M170" s="51"/>
      <c r="N170" s="51"/>
      <c r="O170" s="51"/>
      <c r="P170" s="51"/>
      <c r="Q170" s="51"/>
      <c r="R170" s="51"/>
      <c r="S170" s="51"/>
      <c r="T170" s="51"/>
      <c r="U170" s="51"/>
      <c r="V170" s="51"/>
      <c r="W170" s="2"/>
      <c r="X170" s="1"/>
      <c r="Y170" s="1"/>
      <c r="Z170" s="1"/>
      <c r="AA170" s="1"/>
      <c r="AB170" s="1"/>
      <c r="AC170" s="1"/>
      <c r="AD170" s="1"/>
      <c r="AE170" s="1"/>
      <c r="AF170" s="1"/>
      <c r="AG170" s="3"/>
    </row>
    <row r="171" spans="1:33" ht="13.5" customHeight="1" x14ac:dyDescent="0.3">
      <c r="A171" s="1"/>
      <c r="B171" s="51"/>
      <c r="C171" s="51"/>
      <c r="D171" s="51"/>
      <c r="E171" s="51"/>
      <c r="F171" s="51"/>
      <c r="G171" s="58"/>
      <c r="H171" s="51"/>
      <c r="I171" s="57"/>
      <c r="J171" s="57"/>
      <c r="K171" s="57"/>
      <c r="L171" s="57"/>
      <c r="M171" s="51"/>
      <c r="N171" s="51"/>
      <c r="O171" s="51"/>
      <c r="P171" s="51"/>
      <c r="Q171" s="51"/>
      <c r="R171" s="51"/>
      <c r="S171" s="51"/>
      <c r="T171" s="51"/>
      <c r="U171" s="51"/>
      <c r="V171" s="51"/>
      <c r="W171" s="2"/>
      <c r="X171" s="1"/>
      <c r="Y171" s="1"/>
      <c r="Z171" s="1"/>
      <c r="AA171" s="1"/>
      <c r="AB171" s="1"/>
      <c r="AC171" s="1"/>
      <c r="AD171" s="1"/>
      <c r="AE171" s="1"/>
      <c r="AF171" s="1"/>
      <c r="AG171" s="3"/>
    </row>
    <row r="172" spans="1:33" ht="13.5" customHeight="1" x14ac:dyDescent="0.3">
      <c r="A172" s="1"/>
      <c r="B172" s="51"/>
      <c r="C172" s="51"/>
      <c r="D172" s="51"/>
      <c r="E172" s="51"/>
      <c r="F172" s="51"/>
      <c r="G172" s="58"/>
      <c r="H172" s="51"/>
      <c r="I172" s="57"/>
      <c r="J172" s="57"/>
      <c r="K172" s="57"/>
      <c r="L172" s="57"/>
      <c r="M172" s="51"/>
      <c r="N172" s="51"/>
      <c r="O172" s="51"/>
      <c r="P172" s="51"/>
      <c r="Q172" s="51"/>
      <c r="R172" s="51"/>
      <c r="S172" s="51"/>
      <c r="T172" s="51"/>
      <c r="U172" s="51"/>
      <c r="V172" s="51"/>
      <c r="W172" s="2"/>
      <c r="X172" s="1"/>
      <c r="Y172" s="1"/>
      <c r="Z172" s="1"/>
      <c r="AA172" s="1"/>
      <c r="AB172" s="1"/>
      <c r="AC172" s="1"/>
      <c r="AD172" s="1"/>
      <c r="AE172" s="1"/>
      <c r="AF172" s="1"/>
      <c r="AG172" s="3"/>
    </row>
    <row r="173" spans="1:33" ht="13.5" customHeight="1" x14ac:dyDescent="0.3">
      <c r="A173" s="1"/>
      <c r="B173" s="51"/>
      <c r="C173" s="51"/>
      <c r="D173" s="51"/>
      <c r="E173" s="51"/>
      <c r="F173" s="51"/>
      <c r="G173" s="58"/>
      <c r="H173" s="51"/>
      <c r="I173" s="57"/>
      <c r="J173" s="57"/>
      <c r="K173" s="57"/>
      <c r="L173" s="57"/>
      <c r="M173" s="51"/>
      <c r="N173" s="51"/>
      <c r="O173" s="51"/>
      <c r="P173" s="51"/>
      <c r="Q173" s="51"/>
      <c r="R173" s="51"/>
      <c r="S173" s="51"/>
      <c r="T173" s="51"/>
      <c r="U173" s="51"/>
      <c r="V173" s="51"/>
      <c r="W173" s="2"/>
      <c r="X173" s="1"/>
      <c r="Y173" s="1"/>
      <c r="Z173" s="1"/>
      <c r="AA173" s="1"/>
      <c r="AB173" s="1"/>
      <c r="AC173" s="1"/>
      <c r="AD173" s="1"/>
      <c r="AE173" s="1"/>
      <c r="AF173" s="1"/>
      <c r="AG173" s="3"/>
    </row>
    <row r="174" spans="1:33" ht="13.5" customHeight="1" x14ac:dyDescent="0.3">
      <c r="A174" s="1"/>
      <c r="B174" s="51"/>
      <c r="C174" s="51"/>
      <c r="D174" s="51"/>
      <c r="E174" s="51"/>
      <c r="F174" s="51"/>
      <c r="G174" s="58"/>
      <c r="H174" s="51"/>
      <c r="I174" s="57"/>
      <c r="J174" s="57"/>
      <c r="K174" s="57"/>
      <c r="L174" s="57"/>
      <c r="M174" s="51"/>
      <c r="N174" s="51"/>
      <c r="O174" s="51"/>
      <c r="P174" s="51"/>
      <c r="Q174" s="51"/>
      <c r="R174" s="51"/>
      <c r="S174" s="51"/>
      <c r="T174" s="51"/>
      <c r="U174" s="51"/>
      <c r="V174" s="51"/>
      <c r="W174" s="2"/>
      <c r="X174" s="1"/>
      <c r="Y174" s="1"/>
      <c r="Z174" s="1"/>
      <c r="AA174" s="1"/>
      <c r="AB174" s="1"/>
      <c r="AC174" s="1"/>
      <c r="AD174" s="1"/>
      <c r="AE174" s="1"/>
      <c r="AF174" s="1"/>
      <c r="AG174" s="3"/>
    </row>
    <row r="175" spans="1:33" ht="13.5" customHeight="1" x14ac:dyDescent="0.3">
      <c r="A175" s="1"/>
      <c r="B175" s="51"/>
      <c r="C175" s="51"/>
      <c r="D175" s="51"/>
      <c r="E175" s="51"/>
      <c r="F175" s="51"/>
      <c r="G175" s="58"/>
      <c r="H175" s="51"/>
      <c r="I175" s="57"/>
      <c r="J175" s="57"/>
      <c r="K175" s="57"/>
      <c r="L175" s="57"/>
      <c r="M175" s="51"/>
      <c r="N175" s="51"/>
      <c r="O175" s="51"/>
      <c r="P175" s="51"/>
      <c r="Q175" s="51"/>
      <c r="R175" s="51"/>
      <c r="S175" s="51"/>
      <c r="T175" s="51"/>
      <c r="U175" s="51"/>
      <c r="V175" s="51"/>
      <c r="W175" s="2"/>
      <c r="X175" s="1"/>
      <c r="Y175" s="1"/>
      <c r="Z175" s="1"/>
      <c r="AA175" s="1"/>
      <c r="AB175" s="1"/>
      <c r="AC175" s="1"/>
      <c r="AD175" s="1"/>
      <c r="AE175" s="1"/>
      <c r="AF175" s="1"/>
      <c r="AG175" s="3"/>
    </row>
    <row r="176" spans="1:33" ht="13.5" customHeight="1" x14ac:dyDescent="0.3">
      <c r="A176" s="1"/>
      <c r="B176" s="51"/>
      <c r="C176" s="51"/>
      <c r="D176" s="51"/>
      <c r="E176" s="51"/>
      <c r="F176" s="51"/>
      <c r="G176" s="58"/>
      <c r="H176" s="51"/>
      <c r="I176" s="57"/>
      <c r="J176" s="57"/>
      <c r="K176" s="57"/>
      <c r="L176" s="57"/>
      <c r="M176" s="51"/>
      <c r="N176" s="51"/>
      <c r="O176" s="51"/>
      <c r="P176" s="51"/>
      <c r="Q176" s="51"/>
      <c r="R176" s="51"/>
      <c r="S176" s="51"/>
      <c r="T176" s="51"/>
      <c r="U176" s="51"/>
      <c r="V176" s="51"/>
      <c r="W176" s="2"/>
      <c r="X176" s="1"/>
      <c r="Y176" s="1"/>
      <c r="Z176" s="1"/>
      <c r="AA176" s="1"/>
      <c r="AB176" s="1"/>
      <c r="AC176" s="1"/>
      <c r="AD176" s="1"/>
      <c r="AE176" s="1"/>
      <c r="AF176" s="1"/>
      <c r="AG176" s="3"/>
    </row>
    <row r="177" spans="1:33" ht="13.5" customHeight="1" x14ac:dyDescent="0.3">
      <c r="A177" s="1"/>
      <c r="B177" s="51"/>
      <c r="C177" s="51"/>
      <c r="D177" s="51"/>
      <c r="E177" s="51"/>
      <c r="F177" s="51"/>
      <c r="G177" s="58"/>
      <c r="H177" s="51"/>
      <c r="I177" s="57"/>
      <c r="J177" s="57"/>
      <c r="K177" s="57"/>
      <c r="L177" s="57"/>
      <c r="M177" s="51"/>
      <c r="N177" s="51"/>
      <c r="O177" s="51"/>
      <c r="P177" s="51"/>
      <c r="Q177" s="51"/>
      <c r="R177" s="51"/>
      <c r="S177" s="51"/>
      <c r="T177" s="51"/>
      <c r="U177" s="51"/>
      <c r="V177" s="51"/>
      <c r="W177" s="2"/>
      <c r="X177" s="1"/>
      <c r="Y177" s="1"/>
      <c r="Z177" s="1"/>
      <c r="AA177" s="1"/>
      <c r="AB177" s="1"/>
      <c r="AC177" s="1"/>
      <c r="AD177" s="1"/>
      <c r="AE177" s="1"/>
      <c r="AF177" s="1"/>
      <c r="AG177" s="3"/>
    </row>
    <row r="178" spans="1:33" ht="13.5" customHeight="1" x14ac:dyDescent="0.3">
      <c r="A178" s="1"/>
      <c r="B178" s="51"/>
      <c r="C178" s="51"/>
      <c r="D178" s="51"/>
      <c r="E178" s="51"/>
      <c r="F178" s="51"/>
      <c r="G178" s="58"/>
      <c r="H178" s="51"/>
      <c r="I178" s="57"/>
      <c r="J178" s="57"/>
      <c r="K178" s="57"/>
      <c r="L178" s="57"/>
      <c r="M178" s="51"/>
      <c r="N178" s="51"/>
      <c r="O178" s="51"/>
      <c r="P178" s="51"/>
      <c r="Q178" s="51"/>
      <c r="R178" s="51"/>
      <c r="S178" s="51"/>
      <c r="T178" s="51"/>
      <c r="U178" s="51"/>
      <c r="V178" s="51"/>
      <c r="W178" s="2"/>
      <c r="X178" s="1"/>
      <c r="Y178" s="1"/>
      <c r="Z178" s="1"/>
      <c r="AA178" s="1"/>
      <c r="AB178" s="1"/>
      <c r="AC178" s="1"/>
      <c r="AD178" s="1"/>
      <c r="AE178" s="1"/>
      <c r="AF178" s="1"/>
      <c r="AG178" s="3"/>
    </row>
    <row r="179" spans="1:33" ht="13.5" customHeight="1" x14ac:dyDescent="0.3">
      <c r="A179" s="1"/>
      <c r="B179" s="51"/>
      <c r="C179" s="51"/>
      <c r="D179" s="51"/>
      <c r="E179" s="51"/>
      <c r="F179" s="51"/>
      <c r="G179" s="58"/>
      <c r="H179" s="51"/>
      <c r="I179" s="57"/>
      <c r="J179" s="57"/>
      <c r="K179" s="57"/>
      <c r="L179" s="57"/>
      <c r="M179" s="51"/>
      <c r="N179" s="51"/>
      <c r="O179" s="51"/>
      <c r="P179" s="51"/>
      <c r="Q179" s="51"/>
      <c r="R179" s="51"/>
      <c r="S179" s="51"/>
      <c r="T179" s="51"/>
      <c r="U179" s="51"/>
      <c r="V179" s="51"/>
      <c r="W179" s="2"/>
      <c r="X179" s="1"/>
      <c r="Y179" s="1"/>
      <c r="Z179" s="1"/>
      <c r="AA179" s="1"/>
      <c r="AB179" s="1"/>
      <c r="AC179" s="1"/>
      <c r="AD179" s="1"/>
      <c r="AE179" s="1"/>
      <c r="AF179" s="1"/>
      <c r="AG179" s="3"/>
    </row>
    <row r="180" spans="1:33" ht="13.5" customHeight="1" x14ac:dyDescent="0.3">
      <c r="A180" s="1"/>
      <c r="B180" s="51"/>
      <c r="C180" s="51"/>
      <c r="D180" s="51"/>
      <c r="E180" s="51"/>
      <c r="F180" s="51"/>
      <c r="G180" s="58"/>
      <c r="H180" s="51"/>
      <c r="I180" s="57"/>
      <c r="J180" s="57"/>
      <c r="K180" s="57"/>
      <c r="L180" s="57"/>
      <c r="M180" s="51"/>
      <c r="N180" s="51"/>
      <c r="O180" s="51"/>
      <c r="P180" s="51"/>
      <c r="Q180" s="51"/>
      <c r="R180" s="51"/>
      <c r="S180" s="51"/>
      <c r="T180" s="51"/>
      <c r="U180" s="51"/>
      <c r="V180" s="51"/>
      <c r="W180" s="2"/>
      <c r="X180" s="1"/>
      <c r="Y180" s="1"/>
      <c r="Z180" s="1"/>
      <c r="AA180" s="1"/>
      <c r="AB180" s="1"/>
      <c r="AC180" s="1"/>
      <c r="AD180" s="1"/>
      <c r="AE180" s="1"/>
      <c r="AF180" s="1"/>
      <c r="AG180" s="3"/>
    </row>
    <row r="181" spans="1:33" ht="13.5" customHeight="1" x14ac:dyDescent="0.3">
      <c r="A181" s="1"/>
      <c r="B181" s="51"/>
      <c r="C181" s="51"/>
      <c r="D181" s="51"/>
      <c r="E181" s="51"/>
      <c r="F181" s="51"/>
      <c r="G181" s="58"/>
      <c r="H181" s="51"/>
      <c r="I181" s="57"/>
      <c r="J181" s="57"/>
      <c r="K181" s="57"/>
      <c r="L181" s="57"/>
      <c r="M181" s="51"/>
      <c r="N181" s="51"/>
      <c r="O181" s="51"/>
      <c r="P181" s="51"/>
      <c r="Q181" s="51"/>
      <c r="R181" s="51"/>
      <c r="S181" s="51"/>
      <c r="T181" s="51"/>
      <c r="U181" s="51"/>
      <c r="V181" s="51"/>
      <c r="W181" s="2"/>
      <c r="X181" s="1"/>
      <c r="Y181" s="1"/>
      <c r="Z181" s="1"/>
      <c r="AA181" s="1"/>
      <c r="AB181" s="1"/>
      <c r="AC181" s="1"/>
      <c r="AD181" s="1"/>
      <c r="AE181" s="1"/>
      <c r="AF181" s="1"/>
      <c r="AG181" s="3"/>
    </row>
    <row r="182" spans="1:33" ht="13.5" customHeight="1" x14ac:dyDescent="0.3">
      <c r="A182" s="1"/>
      <c r="B182" s="51"/>
      <c r="C182" s="51"/>
      <c r="D182" s="51"/>
      <c r="E182" s="51"/>
      <c r="F182" s="51"/>
      <c r="G182" s="58"/>
      <c r="H182" s="51"/>
      <c r="I182" s="57"/>
      <c r="J182" s="57"/>
      <c r="K182" s="57"/>
      <c r="L182" s="57"/>
      <c r="M182" s="51"/>
      <c r="N182" s="51"/>
      <c r="O182" s="51"/>
      <c r="P182" s="51"/>
      <c r="Q182" s="51"/>
      <c r="R182" s="51"/>
      <c r="S182" s="51"/>
      <c r="T182" s="51"/>
      <c r="U182" s="51"/>
      <c r="V182" s="51"/>
      <c r="W182" s="2"/>
      <c r="X182" s="1"/>
      <c r="Y182" s="1"/>
      <c r="Z182" s="1"/>
      <c r="AA182" s="1"/>
      <c r="AB182" s="1"/>
      <c r="AC182" s="1"/>
      <c r="AD182" s="1"/>
      <c r="AE182" s="1"/>
      <c r="AF182" s="1"/>
      <c r="AG182" s="3"/>
    </row>
    <row r="183" spans="1:33" ht="13.5" customHeight="1" x14ac:dyDescent="0.3">
      <c r="A183" s="1"/>
      <c r="B183" s="51"/>
      <c r="C183" s="51"/>
      <c r="D183" s="51"/>
      <c r="E183" s="51"/>
      <c r="F183" s="51"/>
      <c r="G183" s="58"/>
      <c r="H183" s="51"/>
      <c r="I183" s="57"/>
      <c r="J183" s="57"/>
      <c r="K183" s="57"/>
      <c r="L183" s="57"/>
      <c r="M183" s="51"/>
      <c r="N183" s="51"/>
      <c r="O183" s="51"/>
      <c r="P183" s="51"/>
      <c r="Q183" s="51"/>
      <c r="R183" s="51"/>
      <c r="S183" s="51"/>
      <c r="T183" s="51"/>
      <c r="U183" s="51"/>
      <c r="V183" s="51"/>
      <c r="W183" s="2"/>
      <c r="X183" s="1"/>
      <c r="Y183" s="1"/>
      <c r="Z183" s="1"/>
      <c r="AA183" s="1"/>
      <c r="AB183" s="1"/>
      <c r="AC183" s="1"/>
      <c r="AD183" s="1"/>
      <c r="AE183" s="1"/>
      <c r="AF183" s="1"/>
      <c r="AG183" s="3"/>
    </row>
    <row r="184" spans="1:33" ht="13.5" customHeight="1" x14ac:dyDescent="0.3">
      <c r="A184" s="1"/>
      <c r="B184" s="51"/>
      <c r="C184" s="51"/>
      <c r="D184" s="51"/>
      <c r="E184" s="51"/>
      <c r="F184" s="51"/>
      <c r="G184" s="58"/>
      <c r="H184" s="51"/>
      <c r="I184" s="57"/>
      <c r="J184" s="57"/>
      <c r="K184" s="57"/>
      <c r="L184" s="57"/>
      <c r="M184" s="51"/>
      <c r="N184" s="51"/>
      <c r="O184" s="51"/>
      <c r="P184" s="51"/>
      <c r="Q184" s="51"/>
      <c r="R184" s="51"/>
      <c r="S184" s="51"/>
      <c r="T184" s="51"/>
      <c r="U184" s="51"/>
      <c r="V184" s="51"/>
      <c r="W184" s="2"/>
      <c r="X184" s="1"/>
      <c r="Y184" s="1"/>
      <c r="Z184" s="1"/>
      <c r="AA184" s="1"/>
      <c r="AB184" s="1"/>
      <c r="AC184" s="1"/>
      <c r="AD184" s="1"/>
      <c r="AE184" s="1"/>
      <c r="AF184" s="1"/>
      <c r="AG184" s="3"/>
    </row>
    <row r="185" spans="1:33" ht="13.5" customHeight="1" x14ac:dyDescent="0.3">
      <c r="A185" s="1"/>
      <c r="B185" s="51"/>
      <c r="C185" s="51"/>
      <c r="D185" s="51"/>
      <c r="E185" s="51"/>
      <c r="F185" s="51"/>
      <c r="G185" s="58"/>
      <c r="H185" s="51"/>
      <c r="I185" s="57"/>
      <c r="J185" s="57"/>
      <c r="K185" s="57"/>
      <c r="L185" s="57"/>
      <c r="M185" s="51"/>
      <c r="N185" s="51"/>
      <c r="O185" s="51"/>
      <c r="P185" s="51"/>
      <c r="Q185" s="51"/>
      <c r="R185" s="51"/>
      <c r="S185" s="51"/>
      <c r="T185" s="51"/>
      <c r="U185" s="51"/>
      <c r="V185" s="51"/>
      <c r="W185" s="2"/>
      <c r="X185" s="1"/>
      <c r="Y185" s="1"/>
      <c r="Z185" s="1"/>
      <c r="AA185" s="1"/>
      <c r="AB185" s="1"/>
      <c r="AC185" s="1"/>
      <c r="AD185" s="1"/>
      <c r="AE185" s="1"/>
      <c r="AF185" s="1"/>
      <c r="AG185" s="3"/>
    </row>
    <row r="186" spans="1:33" ht="13.5" customHeight="1" x14ac:dyDescent="0.3">
      <c r="A186" s="1"/>
      <c r="B186" s="51"/>
      <c r="C186" s="51"/>
      <c r="D186" s="51"/>
      <c r="E186" s="51"/>
      <c r="F186" s="51"/>
      <c r="G186" s="58"/>
      <c r="H186" s="51"/>
      <c r="I186" s="57"/>
      <c r="J186" s="57"/>
      <c r="K186" s="57"/>
      <c r="L186" s="57"/>
      <c r="M186" s="51"/>
      <c r="N186" s="51"/>
      <c r="O186" s="51"/>
      <c r="P186" s="51"/>
      <c r="Q186" s="51"/>
      <c r="R186" s="51"/>
      <c r="S186" s="51"/>
      <c r="T186" s="51"/>
      <c r="U186" s="51"/>
      <c r="V186" s="51"/>
      <c r="W186" s="2"/>
      <c r="X186" s="1"/>
      <c r="Y186" s="1"/>
      <c r="Z186" s="1"/>
      <c r="AA186" s="1"/>
      <c r="AB186" s="1"/>
      <c r="AC186" s="1"/>
      <c r="AD186" s="1"/>
      <c r="AE186" s="1"/>
      <c r="AF186" s="1"/>
      <c r="AG186" s="3"/>
    </row>
    <row r="187" spans="1:33" ht="13.5" customHeight="1" x14ac:dyDescent="0.3">
      <c r="A187" s="1"/>
      <c r="B187" s="51"/>
      <c r="C187" s="51"/>
      <c r="D187" s="51"/>
      <c r="E187" s="51"/>
      <c r="F187" s="51"/>
      <c r="G187" s="58"/>
      <c r="H187" s="51"/>
      <c r="I187" s="57"/>
      <c r="J187" s="57"/>
      <c r="K187" s="57"/>
      <c r="L187" s="57"/>
      <c r="M187" s="51"/>
      <c r="N187" s="51"/>
      <c r="O187" s="51"/>
      <c r="P187" s="51"/>
      <c r="Q187" s="51"/>
      <c r="R187" s="51"/>
      <c r="S187" s="51"/>
      <c r="T187" s="51"/>
      <c r="U187" s="51"/>
      <c r="V187" s="51"/>
      <c r="W187" s="2"/>
      <c r="X187" s="1"/>
      <c r="Y187" s="1"/>
      <c r="Z187" s="1"/>
      <c r="AA187" s="1"/>
      <c r="AB187" s="1"/>
      <c r="AC187" s="1"/>
      <c r="AD187" s="1"/>
      <c r="AE187" s="1"/>
      <c r="AF187" s="1"/>
      <c r="AG187" s="3"/>
    </row>
    <row r="188" spans="1:33" ht="13.5" customHeight="1" x14ac:dyDescent="0.3">
      <c r="A188" s="1"/>
      <c r="B188" s="51"/>
      <c r="C188" s="51"/>
      <c r="D188" s="51"/>
      <c r="E188" s="51"/>
      <c r="F188" s="51"/>
      <c r="G188" s="58"/>
      <c r="H188" s="51"/>
      <c r="I188" s="57"/>
      <c r="J188" s="57"/>
      <c r="K188" s="57"/>
      <c r="L188" s="57"/>
      <c r="M188" s="51"/>
      <c r="N188" s="51"/>
      <c r="O188" s="51"/>
      <c r="P188" s="51"/>
      <c r="Q188" s="51"/>
      <c r="R188" s="51"/>
      <c r="S188" s="51"/>
      <c r="T188" s="51"/>
      <c r="U188" s="51"/>
      <c r="V188" s="51"/>
      <c r="W188" s="2"/>
      <c r="X188" s="1"/>
      <c r="Y188" s="1"/>
      <c r="Z188" s="1"/>
      <c r="AA188" s="1"/>
      <c r="AB188" s="1"/>
      <c r="AC188" s="1"/>
      <c r="AD188" s="1"/>
      <c r="AE188" s="1"/>
      <c r="AF188" s="1"/>
      <c r="AG188" s="3"/>
    </row>
    <row r="189" spans="1:33" ht="13.5" customHeight="1" x14ac:dyDescent="0.3">
      <c r="A189" s="1"/>
      <c r="B189" s="51"/>
      <c r="C189" s="51"/>
      <c r="D189" s="51"/>
      <c r="E189" s="51"/>
      <c r="F189" s="51"/>
      <c r="G189" s="58"/>
      <c r="H189" s="51"/>
      <c r="I189" s="57"/>
      <c r="J189" s="57"/>
      <c r="K189" s="57"/>
      <c r="L189" s="57"/>
      <c r="M189" s="51"/>
      <c r="N189" s="51"/>
      <c r="O189" s="51"/>
      <c r="P189" s="51"/>
      <c r="Q189" s="51"/>
      <c r="R189" s="51"/>
      <c r="S189" s="51"/>
      <c r="T189" s="51"/>
      <c r="U189" s="51"/>
      <c r="V189" s="51"/>
      <c r="W189" s="2"/>
      <c r="X189" s="1"/>
      <c r="Y189" s="1"/>
      <c r="Z189" s="1"/>
      <c r="AA189" s="1"/>
      <c r="AB189" s="1"/>
      <c r="AC189" s="1"/>
      <c r="AD189" s="1"/>
      <c r="AE189" s="1"/>
      <c r="AF189" s="1"/>
      <c r="AG189" s="3"/>
    </row>
    <row r="190" spans="1:33" ht="13.5" customHeight="1" x14ac:dyDescent="0.3">
      <c r="A190" s="1"/>
      <c r="B190" s="51"/>
      <c r="C190" s="51"/>
      <c r="D190" s="51"/>
      <c r="E190" s="51"/>
      <c r="F190" s="51"/>
      <c r="G190" s="58"/>
      <c r="H190" s="51"/>
      <c r="I190" s="57"/>
      <c r="J190" s="57"/>
      <c r="K190" s="57"/>
      <c r="L190" s="57"/>
      <c r="M190" s="51"/>
      <c r="N190" s="51"/>
      <c r="O190" s="51"/>
      <c r="P190" s="51"/>
      <c r="Q190" s="51"/>
      <c r="R190" s="51"/>
      <c r="S190" s="51"/>
      <c r="T190" s="51"/>
      <c r="U190" s="51"/>
      <c r="V190" s="51"/>
      <c r="W190" s="2"/>
      <c r="X190" s="1"/>
      <c r="Y190" s="1"/>
      <c r="Z190" s="1"/>
      <c r="AA190" s="1"/>
      <c r="AB190" s="1"/>
      <c r="AC190" s="1"/>
      <c r="AD190" s="1"/>
      <c r="AE190" s="1"/>
      <c r="AF190" s="1"/>
      <c r="AG190" s="3"/>
    </row>
    <row r="191" spans="1:33" ht="13.5" customHeight="1" x14ac:dyDescent="0.3">
      <c r="A191" s="1"/>
      <c r="B191" s="51"/>
      <c r="C191" s="51"/>
      <c r="D191" s="51"/>
      <c r="E191" s="51"/>
      <c r="F191" s="51"/>
      <c r="G191" s="58"/>
      <c r="H191" s="51"/>
      <c r="I191" s="57"/>
      <c r="J191" s="57"/>
      <c r="K191" s="57"/>
      <c r="L191" s="57"/>
      <c r="M191" s="51"/>
      <c r="N191" s="51"/>
      <c r="O191" s="51"/>
      <c r="P191" s="51"/>
      <c r="Q191" s="51"/>
      <c r="R191" s="51"/>
      <c r="S191" s="51"/>
      <c r="T191" s="51"/>
      <c r="U191" s="51"/>
      <c r="V191" s="51"/>
      <c r="W191" s="2"/>
      <c r="X191" s="1"/>
      <c r="Y191" s="1"/>
      <c r="Z191" s="1"/>
      <c r="AA191" s="1"/>
      <c r="AB191" s="1"/>
      <c r="AC191" s="1"/>
      <c r="AD191" s="1"/>
      <c r="AE191" s="1"/>
      <c r="AF191" s="1"/>
      <c r="AG191" s="3"/>
    </row>
    <row r="192" spans="1:33" ht="13.5" customHeight="1" x14ac:dyDescent="0.3">
      <c r="A192" s="1"/>
      <c r="B192" s="51"/>
      <c r="C192" s="51"/>
      <c r="D192" s="51"/>
      <c r="E192" s="51"/>
      <c r="F192" s="51"/>
      <c r="G192" s="58"/>
      <c r="H192" s="51"/>
      <c r="I192" s="57"/>
      <c r="J192" s="57"/>
      <c r="K192" s="57"/>
      <c r="L192" s="57"/>
      <c r="M192" s="51"/>
      <c r="N192" s="51"/>
      <c r="O192" s="51"/>
      <c r="P192" s="51"/>
      <c r="Q192" s="51"/>
      <c r="R192" s="51"/>
      <c r="S192" s="51"/>
      <c r="T192" s="51"/>
      <c r="U192" s="51"/>
      <c r="V192" s="51"/>
      <c r="W192" s="2"/>
      <c r="X192" s="1"/>
      <c r="Y192" s="1"/>
      <c r="Z192" s="1"/>
      <c r="AA192" s="1"/>
      <c r="AB192" s="1"/>
      <c r="AC192" s="1"/>
      <c r="AD192" s="1"/>
      <c r="AE192" s="1"/>
      <c r="AF192" s="1"/>
      <c r="AG192" s="3"/>
    </row>
    <row r="193" spans="1:33" ht="13.5" customHeight="1" x14ac:dyDescent="0.3">
      <c r="A193" s="1"/>
      <c r="B193" s="51"/>
      <c r="C193" s="51"/>
      <c r="D193" s="51"/>
      <c r="E193" s="51"/>
      <c r="F193" s="51"/>
      <c r="G193" s="58"/>
      <c r="H193" s="51"/>
      <c r="I193" s="57"/>
      <c r="J193" s="57"/>
      <c r="K193" s="57"/>
      <c r="L193" s="57"/>
      <c r="M193" s="51"/>
      <c r="N193" s="51"/>
      <c r="O193" s="51"/>
      <c r="P193" s="51"/>
      <c r="Q193" s="51"/>
      <c r="R193" s="51"/>
      <c r="S193" s="51"/>
      <c r="T193" s="51"/>
      <c r="U193" s="51"/>
      <c r="V193" s="51"/>
      <c r="W193" s="2"/>
      <c r="X193" s="1"/>
      <c r="Y193" s="1"/>
      <c r="Z193" s="1"/>
      <c r="AA193" s="1"/>
      <c r="AB193" s="1"/>
      <c r="AC193" s="1"/>
      <c r="AD193" s="1"/>
      <c r="AE193" s="1"/>
      <c r="AF193" s="1"/>
      <c r="AG193" s="3"/>
    </row>
    <row r="194" spans="1:33" ht="13.5" customHeight="1" x14ac:dyDescent="0.3">
      <c r="A194" s="1"/>
      <c r="B194" s="51"/>
      <c r="C194" s="51"/>
      <c r="D194" s="51"/>
      <c r="E194" s="51"/>
      <c r="F194" s="51"/>
      <c r="G194" s="58"/>
      <c r="H194" s="51"/>
      <c r="I194" s="57"/>
      <c r="J194" s="57"/>
      <c r="K194" s="57"/>
      <c r="L194" s="57"/>
      <c r="M194" s="51"/>
      <c r="N194" s="51"/>
      <c r="O194" s="51"/>
      <c r="P194" s="51"/>
      <c r="Q194" s="51"/>
      <c r="R194" s="51"/>
      <c r="S194" s="51"/>
      <c r="T194" s="51"/>
      <c r="U194" s="51"/>
      <c r="V194" s="51"/>
      <c r="W194" s="2"/>
      <c r="X194" s="1"/>
      <c r="Y194" s="1"/>
      <c r="Z194" s="1"/>
      <c r="AA194" s="1"/>
      <c r="AB194" s="1"/>
      <c r="AC194" s="1"/>
      <c r="AD194" s="1"/>
      <c r="AE194" s="1"/>
      <c r="AF194" s="1"/>
      <c r="AG194" s="3"/>
    </row>
    <row r="195" spans="1:33" ht="13.5" customHeight="1" x14ac:dyDescent="0.3">
      <c r="A195" s="1"/>
      <c r="B195" s="51"/>
      <c r="C195" s="51"/>
      <c r="D195" s="51"/>
      <c r="E195" s="51"/>
      <c r="F195" s="51"/>
      <c r="G195" s="58"/>
      <c r="H195" s="51"/>
      <c r="I195" s="57"/>
      <c r="J195" s="57"/>
      <c r="K195" s="57"/>
      <c r="L195" s="57"/>
      <c r="M195" s="51"/>
      <c r="N195" s="51"/>
      <c r="O195" s="51"/>
      <c r="P195" s="51"/>
      <c r="Q195" s="51"/>
      <c r="R195" s="51"/>
      <c r="S195" s="51"/>
      <c r="T195" s="51"/>
      <c r="U195" s="51"/>
      <c r="V195" s="51"/>
      <c r="W195" s="2"/>
      <c r="X195" s="1"/>
      <c r="Y195" s="1"/>
      <c r="Z195" s="1"/>
      <c r="AA195" s="1"/>
      <c r="AB195" s="1"/>
      <c r="AC195" s="1"/>
      <c r="AD195" s="1"/>
      <c r="AE195" s="1"/>
      <c r="AF195" s="1"/>
      <c r="AG195" s="3"/>
    </row>
    <row r="196" spans="1:33" ht="13.5" customHeight="1" x14ac:dyDescent="0.3">
      <c r="A196" s="1"/>
      <c r="B196" s="51"/>
      <c r="C196" s="51"/>
      <c r="D196" s="51"/>
      <c r="E196" s="51"/>
      <c r="F196" s="51"/>
      <c r="G196" s="58"/>
      <c r="H196" s="51"/>
      <c r="I196" s="57"/>
      <c r="J196" s="57"/>
      <c r="K196" s="57"/>
      <c r="L196" s="57"/>
      <c r="M196" s="51"/>
      <c r="N196" s="51"/>
      <c r="O196" s="51"/>
      <c r="P196" s="51"/>
      <c r="Q196" s="51"/>
      <c r="R196" s="51"/>
      <c r="S196" s="51"/>
      <c r="T196" s="51"/>
      <c r="U196" s="51"/>
      <c r="V196" s="51"/>
      <c r="W196" s="2"/>
      <c r="X196" s="1"/>
      <c r="Y196" s="1"/>
      <c r="Z196" s="1"/>
      <c r="AA196" s="1"/>
      <c r="AB196" s="1"/>
      <c r="AC196" s="1"/>
      <c r="AD196" s="1"/>
      <c r="AE196" s="1"/>
      <c r="AF196" s="1"/>
      <c r="AG196" s="3"/>
    </row>
    <row r="197" spans="1:33" ht="13.5" customHeight="1" x14ac:dyDescent="0.3">
      <c r="A197" s="1"/>
      <c r="B197" s="51"/>
      <c r="C197" s="51"/>
      <c r="D197" s="51"/>
      <c r="E197" s="51"/>
      <c r="F197" s="51"/>
      <c r="G197" s="58"/>
      <c r="H197" s="51"/>
      <c r="I197" s="57"/>
      <c r="J197" s="57"/>
      <c r="K197" s="57"/>
      <c r="L197" s="57"/>
      <c r="M197" s="51"/>
      <c r="N197" s="51"/>
      <c r="O197" s="51"/>
      <c r="P197" s="51"/>
      <c r="Q197" s="51"/>
      <c r="R197" s="51"/>
      <c r="S197" s="51"/>
      <c r="T197" s="51"/>
      <c r="U197" s="51"/>
      <c r="V197" s="51"/>
      <c r="W197" s="2"/>
      <c r="X197" s="1"/>
      <c r="Y197" s="1"/>
      <c r="Z197" s="1"/>
      <c r="AA197" s="1"/>
      <c r="AB197" s="1"/>
      <c r="AC197" s="1"/>
      <c r="AD197" s="1"/>
      <c r="AE197" s="1"/>
      <c r="AF197" s="1"/>
      <c r="AG197" s="3"/>
    </row>
    <row r="198" spans="1:33" ht="13.5" customHeight="1" x14ac:dyDescent="0.3">
      <c r="A198" s="1"/>
      <c r="B198" s="51"/>
      <c r="C198" s="51"/>
      <c r="D198" s="51"/>
      <c r="E198" s="51"/>
      <c r="F198" s="51"/>
      <c r="G198" s="58"/>
      <c r="H198" s="51"/>
      <c r="I198" s="57"/>
      <c r="J198" s="57"/>
      <c r="K198" s="57"/>
      <c r="L198" s="57"/>
      <c r="M198" s="51"/>
      <c r="N198" s="51"/>
      <c r="O198" s="51"/>
      <c r="P198" s="51"/>
      <c r="Q198" s="51"/>
      <c r="R198" s="51"/>
      <c r="S198" s="51"/>
      <c r="T198" s="51"/>
      <c r="U198" s="51"/>
      <c r="V198" s="51"/>
      <c r="W198" s="2"/>
      <c r="X198" s="1"/>
      <c r="Y198" s="1"/>
      <c r="Z198" s="1"/>
      <c r="AA198" s="1"/>
      <c r="AB198" s="1"/>
      <c r="AC198" s="1"/>
      <c r="AD198" s="1"/>
      <c r="AE198" s="1"/>
      <c r="AF198" s="1"/>
      <c r="AG198" s="3"/>
    </row>
    <row r="199" spans="1:33" ht="13.5" customHeight="1" x14ac:dyDescent="0.3">
      <c r="A199" s="1"/>
      <c r="B199" s="51"/>
      <c r="C199" s="51"/>
      <c r="D199" s="51"/>
      <c r="E199" s="51"/>
      <c r="F199" s="51"/>
      <c r="G199" s="58"/>
      <c r="H199" s="51"/>
      <c r="I199" s="57"/>
      <c r="J199" s="57"/>
      <c r="K199" s="57"/>
      <c r="L199" s="57"/>
      <c r="M199" s="51"/>
      <c r="N199" s="51"/>
      <c r="O199" s="51"/>
      <c r="P199" s="51"/>
      <c r="Q199" s="51"/>
      <c r="R199" s="51"/>
      <c r="S199" s="51"/>
      <c r="T199" s="51"/>
      <c r="U199" s="51"/>
      <c r="V199" s="51"/>
      <c r="W199" s="2"/>
      <c r="X199" s="1"/>
      <c r="Y199" s="1"/>
      <c r="Z199" s="1"/>
      <c r="AA199" s="1"/>
      <c r="AB199" s="1"/>
      <c r="AC199" s="1"/>
      <c r="AD199" s="1"/>
      <c r="AE199" s="1"/>
      <c r="AF199" s="1"/>
      <c r="AG199" s="3"/>
    </row>
    <row r="200" spans="1:33" ht="13.5" customHeight="1" x14ac:dyDescent="0.3">
      <c r="A200" s="1"/>
      <c r="B200" s="51"/>
      <c r="C200" s="51"/>
      <c r="D200" s="51"/>
      <c r="E200" s="51"/>
      <c r="F200" s="51"/>
      <c r="G200" s="58"/>
      <c r="H200" s="51"/>
      <c r="I200" s="57"/>
      <c r="J200" s="57"/>
      <c r="K200" s="57"/>
      <c r="L200" s="57"/>
      <c r="M200" s="51"/>
      <c r="N200" s="51"/>
      <c r="O200" s="51"/>
      <c r="P200" s="51"/>
      <c r="Q200" s="51"/>
      <c r="R200" s="51"/>
      <c r="S200" s="51"/>
      <c r="T200" s="51"/>
      <c r="U200" s="51"/>
      <c r="V200" s="51"/>
      <c r="W200" s="2"/>
      <c r="X200" s="1"/>
      <c r="Y200" s="1"/>
      <c r="Z200" s="1"/>
      <c r="AA200" s="1"/>
      <c r="AB200" s="1"/>
      <c r="AC200" s="1"/>
      <c r="AD200" s="1"/>
      <c r="AE200" s="1"/>
      <c r="AF200" s="1"/>
      <c r="AG200" s="3"/>
    </row>
    <row r="201" spans="1:33" ht="13.5" customHeight="1" x14ac:dyDescent="0.3">
      <c r="A201" s="1"/>
      <c r="B201" s="51"/>
      <c r="C201" s="51"/>
      <c r="D201" s="51"/>
      <c r="E201" s="51"/>
      <c r="F201" s="51"/>
      <c r="G201" s="58"/>
      <c r="H201" s="51"/>
      <c r="I201" s="57"/>
      <c r="J201" s="57"/>
      <c r="K201" s="57"/>
      <c r="L201" s="57"/>
      <c r="M201" s="51"/>
      <c r="N201" s="51"/>
      <c r="O201" s="51"/>
      <c r="P201" s="51"/>
      <c r="Q201" s="51"/>
      <c r="R201" s="51"/>
      <c r="S201" s="51"/>
      <c r="T201" s="51"/>
      <c r="U201" s="51"/>
      <c r="V201" s="51"/>
      <c r="W201" s="2"/>
      <c r="X201" s="1"/>
      <c r="Y201" s="1"/>
      <c r="Z201" s="1"/>
      <c r="AA201" s="1"/>
      <c r="AB201" s="1"/>
      <c r="AC201" s="1"/>
      <c r="AD201" s="1"/>
      <c r="AE201" s="1"/>
      <c r="AF201" s="1"/>
      <c r="AG201" s="3"/>
    </row>
    <row r="202" spans="1:33" ht="13.5" customHeight="1" x14ac:dyDescent="0.3">
      <c r="A202" s="1"/>
      <c r="B202" s="51"/>
      <c r="C202" s="51"/>
      <c r="D202" s="51"/>
      <c r="E202" s="51"/>
      <c r="F202" s="51"/>
      <c r="G202" s="58"/>
      <c r="H202" s="51"/>
      <c r="I202" s="57"/>
      <c r="J202" s="57"/>
      <c r="K202" s="57"/>
      <c r="L202" s="57"/>
      <c r="M202" s="51"/>
      <c r="N202" s="51"/>
      <c r="O202" s="51"/>
      <c r="P202" s="51"/>
      <c r="Q202" s="51"/>
      <c r="R202" s="51"/>
      <c r="S202" s="51"/>
      <c r="T202" s="51"/>
      <c r="U202" s="51"/>
      <c r="V202" s="51"/>
      <c r="W202" s="2"/>
      <c r="X202" s="1"/>
      <c r="Y202" s="1"/>
      <c r="Z202" s="1"/>
      <c r="AA202" s="1"/>
      <c r="AB202" s="1"/>
      <c r="AC202" s="1"/>
      <c r="AD202" s="1"/>
      <c r="AE202" s="1"/>
      <c r="AF202" s="1"/>
      <c r="AG202" s="3"/>
    </row>
    <row r="203" spans="1:33" ht="13.5" customHeight="1" x14ac:dyDescent="0.3">
      <c r="A203" s="1"/>
      <c r="B203" s="51"/>
      <c r="C203" s="51"/>
      <c r="D203" s="51"/>
      <c r="E203" s="51"/>
      <c r="F203" s="51"/>
      <c r="G203" s="58"/>
      <c r="H203" s="51"/>
      <c r="I203" s="57"/>
      <c r="J203" s="57"/>
      <c r="K203" s="57"/>
      <c r="L203" s="57"/>
      <c r="M203" s="51"/>
      <c r="N203" s="51"/>
      <c r="O203" s="51"/>
      <c r="P203" s="51"/>
      <c r="Q203" s="51"/>
      <c r="R203" s="51"/>
      <c r="S203" s="51"/>
      <c r="T203" s="51"/>
      <c r="U203" s="51"/>
      <c r="V203" s="51"/>
      <c r="W203" s="2"/>
      <c r="X203" s="1"/>
      <c r="Y203" s="1"/>
      <c r="Z203" s="1"/>
      <c r="AA203" s="1"/>
      <c r="AB203" s="1"/>
      <c r="AC203" s="1"/>
      <c r="AD203" s="1"/>
      <c r="AE203" s="1"/>
      <c r="AF203" s="1"/>
      <c r="AG203" s="3"/>
    </row>
    <row r="204" spans="1:33" ht="13.5" customHeight="1" x14ac:dyDescent="0.3">
      <c r="A204" s="1"/>
      <c r="B204" s="51"/>
      <c r="C204" s="51"/>
      <c r="D204" s="51"/>
      <c r="E204" s="51"/>
      <c r="F204" s="51"/>
      <c r="G204" s="58"/>
      <c r="H204" s="51"/>
      <c r="I204" s="57"/>
      <c r="J204" s="57"/>
      <c r="K204" s="57"/>
      <c r="L204" s="57"/>
      <c r="M204" s="51"/>
      <c r="N204" s="51"/>
      <c r="O204" s="51"/>
      <c r="P204" s="51"/>
      <c r="Q204" s="51"/>
      <c r="R204" s="51"/>
      <c r="S204" s="51"/>
      <c r="T204" s="51"/>
      <c r="U204" s="51"/>
      <c r="V204" s="51"/>
      <c r="W204" s="2"/>
      <c r="X204" s="1"/>
      <c r="Y204" s="1"/>
      <c r="Z204" s="1"/>
      <c r="AA204" s="1"/>
      <c r="AB204" s="1"/>
      <c r="AC204" s="1"/>
      <c r="AD204" s="1"/>
      <c r="AE204" s="1"/>
      <c r="AF204" s="1"/>
      <c r="AG204" s="3"/>
    </row>
    <row r="205" spans="1:33" ht="13.5" customHeight="1" x14ac:dyDescent="0.3">
      <c r="A205" s="1"/>
      <c r="B205" s="51"/>
      <c r="C205" s="51"/>
      <c r="D205" s="51"/>
      <c r="E205" s="51"/>
      <c r="F205" s="51"/>
      <c r="G205" s="58"/>
      <c r="H205" s="51"/>
      <c r="I205" s="57"/>
      <c r="J205" s="57"/>
      <c r="K205" s="57"/>
      <c r="L205" s="57"/>
      <c r="M205" s="51"/>
      <c r="N205" s="51"/>
      <c r="O205" s="51"/>
      <c r="P205" s="51"/>
      <c r="Q205" s="51"/>
      <c r="R205" s="51"/>
      <c r="S205" s="51"/>
      <c r="T205" s="51"/>
      <c r="U205" s="51"/>
      <c r="V205" s="51"/>
      <c r="W205" s="2"/>
      <c r="X205" s="1"/>
      <c r="Y205" s="1"/>
      <c r="Z205" s="1"/>
      <c r="AA205" s="1"/>
      <c r="AB205" s="1"/>
      <c r="AC205" s="1"/>
      <c r="AD205" s="1"/>
      <c r="AE205" s="1"/>
      <c r="AF205" s="1"/>
      <c r="AG205" s="3"/>
    </row>
    <row r="206" spans="1:33" ht="13.5" customHeight="1" x14ac:dyDescent="0.3">
      <c r="A206" s="1"/>
      <c r="B206" s="51"/>
      <c r="C206" s="51"/>
      <c r="D206" s="51"/>
      <c r="E206" s="51"/>
      <c r="F206" s="51"/>
      <c r="G206" s="58"/>
      <c r="H206" s="51"/>
      <c r="I206" s="57"/>
      <c r="J206" s="57"/>
      <c r="K206" s="57"/>
      <c r="L206" s="57"/>
      <c r="M206" s="51"/>
      <c r="N206" s="51"/>
      <c r="O206" s="51"/>
      <c r="P206" s="51"/>
      <c r="Q206" s="51"/>
      <c r="R206" s="51"/>
      <c r="S206" s="51"/>
      <c r="T206" s="51"/>
      <c r="U206" s="51"/>
      <c r="V206" s="51"/>
      <c r="W206" s="2"/>
      <c r="X206" s="1"/>
      <c r="Y206" s="1"/>
      <c r="Z206" s="1"/>
      <c r="AA206" s="1"/>
      <c r="AB206" s="1"/>
      <c r="AC206" s="1"/>
      <c r="AD206" s="1"/>
      <c r="AE206" s="1"/>
      <c r="AF206" s="1"/>
      <c r="AG206" s="3"/>
    </row>
    <row r="207" spans="1:33" ht="13.5" customHeight="1" x14ac:dyDescent="0.3">
      <c r="A207" s="1"/>
      <c r="B207" s="51"/>
      <c r="C207" s="51"/>
      <c r="D207" s="51"/>
      <c r="E207" s="51"/>
      <c r="F207" s="51"/>
      <c r="G207" s="58"/>
      <c r="H207" s="51"/>
      <c r="I207" s="57"/>
      <c r="J207" s="57"/>
      <c r="K207" s="57"/>
      <c r="L207" s="57"/>
      <c r="M207" s="51"/>
      <c r="N207" s="51"/>
      <c r="O207" s="51"/>
      <c r="P207" s="51"/>
      <c r="Q207" s="51"/>
      <c r="R207" s="51"/>
      <c r="S207" s="51"/>
      <c r="T207" s="51"/>
      <c r="U207" s="51"/>
      <c r="V207" s="51"/>
      <c r="W207" s="2"/>
      <c r="X207" s="1"/>
      <c r="Y207" s="1"/>
      <c r="Z207" s="1"/>
      <c r="AA207" s="1"/>
      <c r="AB207" s="1"/>
      <c r="AC207" s="1"/>
      <c r="AD207" s="1"/>
      <c r="AE207" s="1"/>
      <c r="AF207" s="1"/>
      <c r="AG207" s="3"/>
    </row>
    <row r="208" spans="1:33" ht="13.5" customHeight="1" x14ac:dyDescent="0.3">
      <c r="A208" s="1"/>
      <c r="B208" s="51"/>
      <c r="C208" s="51"/>
      <c r="D208" s="51"/>
      <c r="E208" s="51"/>
      <c r="F208" s="51"/>
      <c r="G208" s="58"/>
      <c r="H208" s="51"/>
      <c r="I208" s="57"/>
      <c r="J208" s="57"/>
      <c r="K208" s="57"/>
      <c r="L208" s="57"/>
      <c r="M208" s="51"/>
      <c r="N208" s="51"/>
      <c r="O208" s="51"/>
      <c r="P208" s="51"/>
      <c r="Q208" s="51"/>
      <c r="R208" s="51"/>
      <c r="S208" s="51"/>
      <c r="T208" s="51"/>
      <c r="U208" s="51"/>
      <c r="V208" s="51"/>
      <c r="W208" s="2"/>
      <c r="X208" s="1"/>
      <c r="Y208" s="1"/>
      <c r="Z208" s="1"/>
      <c r="AA208" s="1"/>
      <c r="AB208" s="1"/>
      <c r="AC208" s="1"/>
      <c r="AD208" s="1"/>
      <c r="AE208" s="1"/>
      <c r="AF208" s="1"/>
      <c r="AG208" s="3"/>
    </row>
    <row r="209" spans="1:33" ht="13.5" customHeight="1" x14ac:dyDescent="0.3">
      <c r="A209" s="1"/>
      <c r="B209" s="51"/>
      <c r="C209" s="51"/>
      <c r="D209" s="51"/>
      <c r="E209" s="51"/>
      <c r="F209" s="51"/>
      <c r="G209" s="58"/>
      <c r="H209" s="51"/>
      <c r="I209" s="57"/>
      <c r="J209" s="57"/>
      <c r="K209" s="57"/>
      <c r="L209" s="57"/>
      <c r="M209" s="51"/>
      <c r="N209" s="51"/>
      <c r="O209" s="51"/>
      <c r="P209" s="51"/>
      <c r="Q209" s="51"/>
      <c r="R209" s="51"/>
      <c r="S209" s="51"/>
      <c r="T209" s="51"/>
      <c r="U209" s="51"/>
      <c r="V209" s="51"/>
      <c r="W209" s="2"/>
      <c r="X209" s="1"/>
      <c r="Y209" s="1"/>
      <c r="Z209" s="1"/>
      <c r="AA209" s="1"/>
      <c r="AB209" s="1"/>
      <c r="AC209" s="1"/>
      <c r="AD209" s="1"/>
      <c r="AE209" s="1"/>
      <c r="AF209" s="1"/>
      <c r="AG209" s="3"/>
    </row>
    <row r="210" spans="1:33" ht="13.5" customHeight="1" x14ac:dyDescent="0.3">
      <c r="A210" s="1"/>
      <c r="B210" s="51"/>
      <c r="C210" s="51"/>
      <c r="D210" s="51"/>
      <c r="E210" s="51"/>
      <c r="F210" s="51"/>
      <c r="G210" s="58"/>
      <c r="H210" s="51"/>
      <c r="I210" s="57"/>
      <c r="J210" s="57"/>
      <c r="K210" s="57"/>
      <c r="L210" s="57"/>
      <c r="M210" s="51"/>
      <c r="N210" s="51"/>
      <c r="O210" s="51"/>
      <c r="P210" s="51"/>
      <c r="Q210" s="51"/>
      <c r="R210" s="51"/>
      <c r="S210" s="51"/>
      <c r="T210" s="51"/>
      <c r="U210" s="51"/>
      <c r="V210" s="51"/>
      <c r="W210" s="2"/>
      <c r="X210" s="1"/>
      <c r="Y210" s="1"/>
      <c r="Z210" s="1"/>
      <c r="AA210" s="1"/>
      <c r="AB210" s="1"/>
      <c r="AC210" s="1"/>
      <c r="AD210" s="1"/>
      <c r="AE210" s="1"/>
      <c r="AF210" s="1"/>
      <c r="AG210" s="3"/>
    </row>
    <row r="211" spans="1:33" ht="13.5" customHeight="1" x14ac:dyDescent="0.3">
      <c r="A211" s="1"/>
      <c r="B211" s="51"/>
      <c r="C211" s="51"/>
      <c r="D211" s="51"/>
      <c r="E211" s="51"/>
      <c r="F211" s="51"/>
      <c r="G211" s="58"/>
      <c r="H211" s="51"/>
      <c r="I211" s="57"/>
      <c r="J211" s="57"/>
      <c r="K211" s="57"/>
      <c r="L211" s="57"/>
      <c r="M211" s="51"/>
      <c r="N211" s="51"/>
      <c r="O211" s="51"/>
      <c r="P211" s="51"/>
      <c r="Q211" s="51"/>
      <c r="R211" s="51"/>
      <c r="S211" s="51"/>
      <c r="T211" s="51"/>
      <c r="U211" s="51"/>
      <c r="V211" s="51"/>
      <c r="W211" s="2"/>
      <c r="X211" s="1"/>
      <c r="Y211" s="1"/>
      <c r="Z211" s="1"/>
      <c r="AA211" s="1"/>
      <c r="AB211" s="1"/>
      <c r="AC211" s="1"/>
      <c r="AD211" s="1"/>
      <c r="AE211" s="1"/>
      <c r="AF211" s="1"/>
      <c r="AG211" s="3"/>
    </row>
    <row r="212" spans="1:33" ht="13.5" customHeight="1" x14ac:dyDescent="0.3">
      <c r="A212" s="1"/>
      <c r="B212" s="51"/>
      <c r="C212" s="51"/>
      <c r="D212" s="51"/>
      <c r="E212" s="51"/>
      <c r="F212" s="51"/>
      <c r="G212" s="58"/>
      <c r="H212" s="51"/>
      <c r="I212" s="57"/>
      <c r="J212" s="57"/>
      <c r="K212" s="57"/>
      <c r="L212" s="57"/>
      <c r="M212" s="51"/>
      <c r="N212" s="51"/>
      <c r="O212" s="51"/>
      <c r="P212" s="51"/>
      <c r="Q212" s="51"/>
      <c r="R212" s="51"/>
      <c r="S212" s="51"/>
      <c r="T212" s="51"/>
      <c r="U212" s="51"/>
      <c r="V212" s="51"/>
      <c r="W212" s="2"/>
      <c r="X212" s="1"/>
      <c r="Y212" s="1"/>
      <c r="Z212" s="1"/>
      <c r="AA212" s="1"/>
      <c r="AB212" s="1"/>
      <c r="AC212" s="1"/>
      <c r="AD212" s="1"/>
      <c r="AE212" s="1"/>
      <c r="AF212" s="1"/>
      <c r="AG212" s="3"/>
    </row>
    <row r="213" spans="1:33" ht="13.5" customHeight="1" x14ac:dyDescent="0.3">
      <c r="A213" s="1"/>
      <c r="B213" s="51"/>
      <c r="C213" s="51"/>
      <c r="D213" s="51"/>
      <c r="E213" s="51"/>
      <c r="F213" s="51"/>
      <c r="G213" s="58"/>
      <c r="H213" s="51"/>
      <c r="I213" s="57"/>
      <c r="J213" s="57"/>
      <c r="K213" s="57"/>
      <c r="L213" s="57"/>
      <c r="M213" s="51"/>
      <c r="N213" s="51"/>
      <c r="O213" s="51"/>
      <c r="P213" s="51"/>
      <c r="Q213" s="51"/>
      <c r="R213" s="51"/>
      <c r="S213" s="51"/>
      <c r="T213" s="51"/>
      <c r="U213" s="51"/>
      <c r="V213" s="51"/>
      <c r="W213" s="2"/>
      <c r="X213" s="1"/>
      <c r="Y213" s="1"/>
      <c r="Z213" s="1"/>
      <c r="AA213" s="1"/>
      <c r="AB213" s="1"/>
      <c r="AC213" s="1"/>
      <c r="AD213" s="1"/>
      <c r="AE213" s="1"/>
      <c r="AF213" s="1"/>
      <c r="AG213" s="3"/>
    </row>
    <row r="214" spans="1:33" ht="13.5" customHeight="1" x14ac:dyDescent="0.3">
      <c r="A214" s="1"/>
      <c r="B214" s="51"/>
      <c r="C214" s="51"/>
      <c r="D214" s="51"/>
      <c r="E214" s="51"/>
      <c r="F214" s="51"/>
      <c r="G214" s="58"/>
      <c r="H214" s="51"/>
      <c r="I214" s="57"/>
      <c r="J214" s="57"/>
      <c r="K214" s="57"/>
      <c r="L214" s="57"/>
      <c r="M214" s="51"/>
      <c r="N214" s="51"/>
      <c r="O214" s="51"/>
      <c r="P214" s="51"/>
      <c r="Q214" s="51"/>
      <c r="R214" s="51"/>
      <c r="S214" s="51"/>
      <c r="T214" s="51"/>
      <c r="U214" s="51"/>
      <c r="V214" s="51"/>
      <c r="W214" s="2"/>
      <c r="X214" s="1"/>
      <c r="Y214" s="1"/>
      <c r="Z214" s="1"/>
      <c r="AA214" s="1"/>
      <c r="AB214" s="1"/>
      <c r="AC214" s="1"/>
      <c r="AD214" s="1"/>
      <c r="AE214" s="1"/>
      <c r="AF214" s="1"/>
      <c r="AG214" s="3"/>
    </row>
    <row r="215" spans="1:33" ht="13.5" customHeight="1" x14ac:dyDescent="0.3">
      <c r="A215" s="1"/>
      <c r="B215" s="51"/>
      <c r="C215" s="51"/>
      <c r="D215" s="51"/>
      <c r="E215" s="51"/>
      <c r="F215" s="51"/>
      <c r="G215" s="58"/>
      <c r="H215" s="51"/>
      <c r="I215" s="57"/>
      <c r="J215" s="57"/>
      <c r="K215" s="57"/>
      <c r="L215" s="57"/>
      <c r="M215" s="51"/>
      <c r="N215" s="51"/>
      <c r="O215" s="51"/>
      <c r="P215" s="51"/>
      <c r="Q215" s="51"/>
      <c r="R215" s="51"/>
      <c r="S215" s="51"/>
      <c r="T215" s="51"/>
      <c r="U215" s="51"/>
      <c r="V215" s="51"/>
      <c r="W215" s="2"/>
      <c r="X215" s="1"/>
      <c r="Y215" s="1"/>
      <c r="Z215" s="1"/>
      <c r="AA215" s="1"/>
      <c r="AB215" s="1"/>
      <c r="AC215" s="1"/>
      <c r="AD215" s="1"/>
      <c r="AE215" s="1"/>
      <c r="AF215" s="1"/>
      <c r="AG215" s="3"/>
    </row>
    <row r="216" spans="1:33" ht="13.5" customHeight="1" x14ac:dyDescent="0.3">
      <c r="A216" s="1"/>
      <c r="B216" s="51"/>
      <c r="C216" s="51"/>
      <c r="D216" s="51"/>
      <c r="E216" s="51"/>
      <c r="F216" s="51"/>
      <c r="G216" s="58"/>
      <c r="H216" s="51"/>
      <c r="I216" s="57"/>
      <c r="J216" s="57"/>
      <c r="K216" s="57"/>
      <c r="L216" s="57"/>
      <c r="M216" s="51"/>
      <c r="N216" s="51"/>
      <c r="O216" s="51"/>
      <c r="P216" s="51"/>
      <c r="Q216" s="51"/>
      <c r="R216" s="51"/>
      <c r="S216" s="51"/>
      <c r="T216" s="51"/>
      <c r="U216" s="51"/>
      <c r="V216" s="51"/>
      <c r="W216" s="2"/>
      <c r="X216" s="1"/>
      <c r="Y216" s="1"/>
      <c r="Z216" s="1"/>
      <c r="AA216" s="1"/>
      <c r="AB216" s="1"/>
      <c r="AC216" s="1"/>
      <c r="AD216" s="1"/>
      <c r="AE216" s="1"/>
      <c r="AF216" s="1"/>
      <c r="AG216" s="3"/>
    </row>
    <row r="217" spans="1:33" ht="13.5" customHeight="1" x14ac:dyDescent="0.3">
      <c r="A217" s="1"/>
      <c r="B217" s="51"/>
      <c r="C217" s="51"/>
      <c r="D217" s="51"/>
      <c r="E217" s="51"/>
      <c r="F217" s="51"/>
      <c r="G217" s="58"/>
      <c r="H217" s="51"/>
      <c r="I217" s="57"/>
      <c r="J217" s="57"/>
      <c r="K217" s="57"/>
      <c r="L217" s="57"/>
      <c r="M217" s="51"/>
      <c r="N217" s="51"/>
      <c r="O217" s="51"/>
      <c r="P217" s="51"/>
      <c r="Q217" s="51"/>
      <c r="R217" s="51"/>
      <c r="S217" s="51"/>
      <c r="T217" s="51"/>
      <c r="U217" s="51"/>
      <c r="V217" s="51"/>
      <c r="W217" s="2"/>
      <c r="X217" s="1"/>
      <c r="Y217" s="1"/>
      <c r="Z217" s="1"/>
      <c r="AA217" s="1"/>
      <c r="AB217" s="1"/>
      <c r="AC217" s="1"/>
      <c r="AD217" s="1"/>
      <c r="AE217" s="1"/>
      <c r="AF217" s="1"/>
      <c r="AG217" s="3"/>
    </row>
    <row r="218" spans="1:33" ht="13.5" customHeight="1" x14ac:dyDescent="0.3">
      <c r="A218" s="1"/>
      <c r="B218" s="51"/>
      <c r="C218" s="51"/>
      <c r="D218" s="51"/>
      <c r="E218" s="51"/>
      <c r="F218" s="51"/>
      <c r="G218" s="58"/>
      <c r="H218" s="51"/>
      <c r="I218" s="57"/>
      <c r="J218" s="57"/>
      <c r="K218" s="57"/>
      <c r="L218" s="57"/>
      <c r="M218" s="51"/>
      <c r="N218" s="51"/>
      <c r="O218" s="51"/>
      <c r="P218" s="51"/>
      <c r="Q218" s="51"/>
      <c r="R218" s="51"/>
      <c r="S218" s="51"/>
      <c r="T218" s="51"/>
      <c r="U218" s="51"/>
      <c r="V218" s="51"/>
      <c r="W218" s="2"/>
      <c r="X218" s="1"/>
      <c r="Y218" s="1"/>
      <c r="Z218" s="1"/>
      <c r="AA218" s="1"/>
      <c r="AB218" s="1"/>
      <c r="AC218" s="1"/>
      <c r="AD218" s="1"/>
      <c r="AE218" s="1"/>
      <c r="AF218" s="1"/>
      <c r="AG218" s="3"/>
    </row>
    <row r="219" spans="1:33" ht="13.5" customHeight="1" x14ac:dyDescent="0.3">
      <c r="A219" s="1"/>
      <c r="B219" s="51"/>
      <c r="C219" s="51"/>
      <c r="D219" s="51"/>
      <c r="E219" s="51"/>
      <c r="F219" s="51"/>
      <c r="G219" s="58"/>
      <c r="H219" s="51"/>
      <c r="I219" s="57"/>
      <c r="J219" s="57"/>
      <c r="K219" s="57"/>
      <c r="L219" s="57"/>
      <c r="M219" s="51"/>
      <c r="N219" s="51"/>
      <c r="O219" s="51"/>
      <c r="P219" s="51"/>
      <c r="Q219" s="51"/>
      <c r="R219" s="51"/>
      <c r="S219" s="51"/>
      <c r="T219" s="51"/>
      <c r="U219" s="51"/>
      <c r="V219" s="51"/>
      <c r="W219" s="2"/>
      <c r="X219" s="1"/>
      <c r="Y219" s="1"/>
      <c r="Z219" s="1"/>
      <c r="AA219" s="1"/>
      <c r="AB219" s="1"/>
      <c r="AC219" s="1"/>
      <c r="AD219" s="1"/>
      <c r="AE219" s="1"/>
      <c r="AF219" s="1"/>
      <c r="AG219" s="3"/>
    </row>
    <row r="220" spans="1:33" ht="13.5" customHeight="1" x14ac:dyDescent="0.3">
      <c r="A220" s="1"/>
      <c r="B220" s="51"/>
      <c r="C220" s="51"/>
      <c r="D220" s="51"/>
      <c r="E220" s="51"/>
      <c r="F220" s="51"/>
      <c r="G220" s="58"/>
      <c r="H220" s="51"/>
      <c r="I220" s="57"/>
      <c r="J220" s="57"/>
      <c r="K220" s="57"/>
      <c r="L220" s="57"/>
      <c r="M220" s="51"/>
      <c r="N220" s="51"/>
      <c r="O220" s="51"/>
      <c r="P220" s="51"/>
      <c r="Q220" s="51"/>
      <c r="R220" s="51"/>
      <c r="S220" s="51"/>
      <c r="T220" s="51"/>
      <c r="U220" s="51"/>
      <c r="V220" s="51"/>
      <c r="W220" s="2"/>
      <c r="X220" s="1"/>
      <c r="Y220" s="1"/>
      <c r="Z220" s="1"/>
      <c r="AA220" s="1"/>
      <c r="AB220" s="1"/>
      <c r="AC220" s="1"/>
      <c r="AD220" s="1"/>
      <c r="AE220" s="1"/>
      <c r="AF220" s="1"/>
      <c r="AG220" s="3"/>
    </row>
    <row r="221" spans="1:33" ht="13.5" customHeight="1" x14ac:dyDescent="0.3">
      <c r="A221" s="1"/>
      <c r="B221" s="51"/>
      <c r="C221" s="51"/>
      <c r="D221" s="51"/>
      <c r="E221" s="51"/>
      <c r="F221" s="51"/>
      <c r="G221" s="58"/>
      <c r="H221" s="51"/>
      <c r="I221" s="57"/>
      <c r="J221" s="57"/>
      <c r="K221" s="57"/>
      <c r="L221" s="57"/>
      <c r="M221" s="51"/>
      <c r="N221" s="51"/>
      <c r="O221" s="51"/>
      <c r="P221" s="51"/>
      <c r="Q221" s="51"/>
      <c r="R221" s="51"/>
      <c r="S221" s="51"/>
      <c r="T221" s="51"/>
      <c r="U221" s="51"/>
      <c r="V221" s="51"/>
      <c r="W221" s="2"/>
      <c r="X221" s="1"/>
      <c r="Y221" s="1"/>
      <c r="Z221" s="1"/>
      <c r="AA221" s="1"/>
      <c r="AB221" s="1"/>
      <c r="AC221" s="1"/>
      <c r="AD221" s="1"/>
      <c r="AE221" s="1"/>
      <c r="AF221" s="1"/>
      <c r="AG221" s="3"/>
    </row>
    <row r="222" spans="1:33" ht="13.5" customHeight="1" x14ac:dyDescent="0.3">
      <c r="A222" s="1"/>
      <c r="B222" s="51"/>
      <c r="C222" s="51"/>
      <c r="D222" s="51"/>
      <c r="E222" s="51"/>
      <c r="F222" s="51"/>
      <c r="G222" s="58"/>
      <c r="H222" s="51"/>
      <c r="I222" s="57"/>
      <c r="J222" s="57"/>
      <c r="K222" s="57"/>
      <c r="L222" s="57"/>
      <c r="M222" s="51"/>
      <c r="N222" s="51"/>
      <c r="O222" s="51"/>
      <c r="P222" s="51"/>
      <c r="Q222" s="51"/>
      <c r="R222" s="51"/>
      <c r="S222" s="51"/>
      <c r="T222" s="51"/>
      <c r="U222" s="51"/>
      <c r="V222" s="51"/>
      <c r="W222" s="2"/>
      <c r="X222" s="1"/>
      <c r="Y222" s="1"/>
      <c r="Z222" s="1"/>
      <c r="AA222" s="1"/>
      <c r="AB222" s="1"/>
      <c r="AC222" s="1"/>
      <c r="AD222" s="1"/>
      <c r="AE222" s="1"/>
      <c r="AF222" s="1"/>
      <c r="AG222" s="3"/>
    </row>
    <row r="223" spans="1:33" ht="13.5" customHeight="1" x14ac:dyDescent="0.3">
      <c r="A223" s="1"/>
      <c r="B223" s="51"/>
      <c r="C223" s="51"/>
      <c r="D223" s="51"/>
      <c r="E223" s="51"/>
      <c r="F223" s="51"/>
      <c r="G223" s="58"/>
      <c r="H223" s="51"/>
      <c r="I223" s="57"/>
      <c r="J223" s="57"/>
      <c r="K223" s="57"/>
      <c r="L223" s="57"/>
      <c r="M223" s="51"/>
      <c r="N223" s="51"/>
      <c r="O223" s="51"/>
      <c r="P223" s="51"/>
      <c r="Q223" s="51"/>
      <c r="R223" s="51"/>
      <c r="S223" s="51"/>
      <c r="T223" s="51"/>
      <c r="U223" s="51"/>
      <c r="V223" s="51"/>
      <c r="W223" s="2"/>
      <c r="X223" s="1"/>
      <c r="Y223" s="1"/>
      <c r="Z223" s="1"/>
      <c r="AA223" s="1"/>
      <c r="AB223" s="1"/>
      <c r="AC223" s="1"/>
      <c r="AD223" s="1"/>
      <c r="AE223" s="1"/>
      <c r="AF223" s="1"/>
      <c r="AG223" s="3"/>
    </row>
    <row r="224" spans="1:33" ht="13.5" customHeight="1" x14ac:dyDescent="0.3">
      <c r="A224" s="1"/>
      <c r="B224" s="51"/>
      <c r="C224" s="51"/>
      <c r="D224" s="51"/>
      <c r="E224" s="51"/>
      <c r="F224" s="51"/>
      <c r="G224" s="58"/>
      <c r="H224" s="51"/>
      <c r="I224" s="57"/>
      <c r="J224" s="57"/>
      <c r="K224" s="57"/>
      <c r="L224" s="57"/>
      <c r="M224" s="51"/>
      <c r="N224" s="51"/>
      <c r="O224" s="51"/>
      <c r="P224" s="51"/>
      <c r="Q224" s="51"/>
      <c r="R224" s="51"/>
      <c r="S224" s="51"/>
      <c r="T224" s="51"/>
      <c r="U224" s="51"/>
      <c r="V224" s="51"/>
      <c r="W224" s="2"/>
      <c r="X224" s="1"/>
      <c r="Y224" s="1"/>
      <c r="Z224" s="1"/>
      <c r="AA224" s="1"/>
      <c r="AB224" s="1"/>
      <c r="AC224" s="1"/>
      <c r="AD224" s="1"/>
      <c r="AE224" s="1"/>
      <c r="AF224" s="1"/>
      <c r="AG224" s="3"/>
    </row>
    <row r="225" spans="1:33" ht="13.5" customHeight="1" x14ac:dyDescent="0.3">
      <c r="A225" s="1"/>
      <c r="B225" s="51"/>
      <c r="C225" s="51"/>
      <c r="D225" s="51"/>
      <c r="E225" s="51"/>
      <c r="F225" s="51"/>
      <c r="G225" s="58"/>
      <c r="H225" s="51"/>
      <c r="I225" s="57"/>
      <c r="J225" s="57"/>
      <c r="K225" s="57"/>
      <c r="L225" s="57"/>
      <c r="M225" s="51"/>
      <c r="N225" s="51"/>
      <c r="O225" s="51"/>
      <c r="P225" s="51"/>
      <c r="Q225" s="51"/>
      <c r="R225" s="51"/>
      <c r="S225" s="51"/>
      <c r="T225" s="51"/>
      <c r="U225" s="51"/>
      <c r="V225" s="51"/>
      <c r="W225" s="2"/>
      <c r="X225" s="1"/>
      <c r="Y225" s="1"/>
      <c r="Z225" s="1"/>
      <c r="AA225" s="1"/>
      <c r="AB225" s="1"/>
      <c r="AC225" s="1"/>
      <c r="AD225" s="1"/>
      <c r="AE225" s="1"/>
      <c r="AF225" s="1"/>
      <c r="AG225" s="3"/>
    </row>
    <row r="226" spans="1:33" ht="13.5" customHeight="1" x14ac:dyDescent="0.3">
      <c r="A226" s="1"/>
      <c r="B226" s="51"/>
      <c r="C226" s="51"/>
      <c r="D226" s="51"/>
      <c r="E226" s="51"/>
      <c r="F226" s="51"/>
      <c r="G226" s="58"/>
      <c r="H226" s="51"/>
      <c r="I226" s="57"/>
      <c r="J226" s="57"/>
      <c r="K226" s="57"/>
      <c r="L226" s="57"/>
      <c r="M226" s="51"/>
      <c r="N226" s="51"/>
      <c r="O226" s="51"/>
      <c r="P226" s="51"/>
      <c r="Q226" s="51"/>
      <c r="R226" s="51"/>
      <c r="S226" s="51"/>
      <c r="T226" s="51"/>
      <c r="U226" s="51"/>
      <c r="V226" s="51"/>
      <c r="W226" s="2"/>
      <c r="X226" s="1"/>
      <c r="Y226" s="1"/>
      <c r="Z226" s="1"/>
      <c r="AA226" s="1"/>
      <c r="AB226" s="1"/>
      <c r="AC226" s="1"/>
      <c r="AD226" s="1"/>
      <c r="AE226" s="1"/>
      <c r="AF226" s="1"/>
      <c r="AG226" s="3"/>
    </row>
    <row r="227" spans="1:33" ht="13.5" customHeight="1" x14ac:dyDescent="0.3">
      <c r="A227" s="1"/>
      <c r="B227" s="51"/>
      <c r="C227" s="51"/>
      <c r="D227" s="51"/>
      <c r="E227" s="51"/>
      <c r="F227" s="51"/>
      <c r="G227" s="58"/>
      <c r="H227" s="51"/>
      <c r="I227" s="57"/>
      <c r="J227" s="57"/>
      <c r="K227" s="57"/>
      <c r="L227" s="57"/>
      <c r="M227" s="51"/>
      <c r="N227" s="51"/>
      <c r="O227" s="51"/>
      <c r="P227" s="51"/>
      <c r="Q227" s="51"/>
      <c r="R227" s="51"/>
      <c r="S227" s="51"/>
      <c r="T227" s="51"/>
      <c r="U227" s="51"/>
      <c r="V227" s="51"/>
      <c r="W227" s="2"/>
      <c r="X227" s="1"/>
      <c r="Y227" s="1"/>
      <c r="Z227" s="1"/>
      <c r="AA227" s="1"/>
      <c r="AB227" s="1"/>
      <c r="AC227" s="1"/>
      <c r="AD227" s="1"/>
      <c r="AE227" s="1"/>
      <c r="AF227" s="1"/>
      <c r="AG227" s="3"/>
    </row>
    <row r="228" spans="1:33" ht="13.5" customHeight="1" x14ac:dyDescent="0.3">
      <c r="A228" s="1"/>
      <c r="B228" s="51"/>
      <c r="C228" s="51"/>
      <c r="D228" s="51"/>
      <c r="E228" s="51"/>
      <c r="F228" s="51"/>
      <c r="G228" s="58"/>
      <c r="H228" s="51"/>
      <c r="I228" s="57"/>
      <c r="J228" s="57"/>
      <c r="K228" s="57"/>
      <c r="L228" s="57"/>
      <c r="M228" s="51"/>
      <c r="N228" s="51"/>
      <c r="O228" s="51"/>
      <c r="P228" s="51"/>
      <c r="Q228" s="51"/>
      <c r="R228" s="51"/>
      <c r="S228" s="51"/>
      <c r="T228" s="51"/>
      <c r="U228" s="51"/>
      <c r="V228" s="51"/>
      <c r="W228" s="2"/>
      <c r="X228" s="1"/>
      <c r="Y228" s="1"/>
      <c r="Z228" s="1"/>
      <c r="AA228" s="1"/>
      <c r="AB228" s="1"/>
      <c r="AC228" s="1"/>
      <c r="AD228" s="1"/>
      <c r="AE228" s="1"/>
      <c r="AF228" s="1"/>
      <c r="AG228" s="3"/>
    </row>
    <row r="229" spans="1:33" ht="13.5" customHeight="1" x14ac:dyDescent="0.3">
      <c r="A229" s="1"/>
      <c r="B229" s="51"/>
      <c r="C229" s="51"/>
      <c r="D229" s="51"/>
      <c r="E229" s="51"/>
      <c r="F229" s="51"/>
      <c r="G229" s="58"/>
      <c r="H229" s="51"/>
      <c r="I229" s="57"/>
      <c r="J229" s="57"/>
      <c r="K229" s="57"/>
      <c r="L229" s="57"/>
      <c r="M229" s="51"/>
      <c r="N229" s="51"/>
      <c r="O229" s="51"/>
      <c r="P229" s="51"/>
      <c r="Q229" s="51"/>
      <c r="R229" s="51"/>
      <c r="S229" s="51"/>
      <c r="T229" s="51"/>
      <c r="U229" s="51"/>
      <c r="V229" s="51"/>
      <c r="W229" s="2"/>
      <c r="X229" s="1"/>
      <c r="Y229" s="1"/>
      <c r="Z229" s="1"/>
      <c r="AA229" s="1"/>
      <c r="AB229" s="1"/>
      <c r="AC229" s="1"/>
      <c r="AD229" s="1"/>
      <c r="AE229" s="1"/>
      <c r="AF229" s="1"/>
      <c r="AG229" s="3"/>
    </row>
    <row r="230" spans="1:33" ht="13.5" customHeight="1" x14ac:dyDescent="0.3">
      <c r="A230" s="1"/>
      <c r="B230" s="51"/>
      <c r="C230" s="51"/>
      <c r="D230" s="51"/>
      <c r="E230" s="51"/>
      <c r="F230" s="51"/>
      <c r="G230" s="58"/>
      <c r="H230" s="51"/>
      <c r="I230" s="57"/>
      <c r="J230" s="57"/>
      <c r="K230" s="57"/>
      <c r="L230" s="57"/>
      <c r="M230" s="51"/>
      <c r="N230" s="51"/>
      <c r="O230" s="51"/>
      <c r="P230" s="51"/>
      <c r="Q230" s="51"/>
      <c r="R230" s="51"/>
      <c r="S230" s="51"/>
      <c r="T230" s="51"/>
      <c r="U230" s="51"/>
      <c r="V230" s="51"/>
      <c r="W230" s="2"/>
      <c r="X230" s="1"/>
      <c r="Y230" s="1"/>
      <c r="Z230" s="1"/>
      <c r="AA230" s="1"/>
      <c r="AB230" s="1"/>
      <c r="AC230" s="1"/>
      <c r="AD230" s="1"/>
      <c r="AE230" s="1"/>
      <c r="AF230" s="1"/>
      <c r="AG230" s="3"/>
    </row>
    <row r="231" spans="1:33" ht="13.5" customHeight="1" x14ac:dyDescent="0.3">
      <c r="A231" s="1"/>
      <c r="B231" s="51"/>
      <c r="C231" s="51"/>
      <c r="D231" s="51"/>
      <c r="E231" s="51"/>
      <c r="F231" s="51"/>
      <c r="G231" s="58"/>
      <c r="H231" s="51"/>
      <c r="I231" s="57"/>
      <c r="J231" s="57"/>
      <c r="K231" s="57"/>
      <c r="L231" s="57"/>
      <c r="M231" s="51"/>
      <c r="N231" s="51"/>
      <c r="O231" s="51"/>
      <c r="P231" s="51"/>
      <c r="Q231" s="51"/>
      <c r="R231" s="51"/>
      <c r="S231" s="51"/>
      <c r="T231" s="51"/>
      <c r="U231" s="51"/>
      <c r="V231" s="51"/>
      <c r="W231" s="2"/>
      <c r="X231" s="1"/>
      <c r="Y231" s="1"/>
      <c r="Z231" s="1"/>
      <c r="AA231" s="1"/>
      <c r="AB231" s="1"/>
      <c r="AC231" s="1"/>
      <c r="AD231" s="1"/>
      <c r="AE231" s="1"/>
      <c r="AF231" s="1"/>
      <c r="AG231" s="3"/>
    </row>
    <row r="232" spans="1:33" ht="13.5" customHeight="1" x14ac:dyDescent="0.3">
      <c r="A232" s="1"/>
      <c r="B232" s="51"/>
      <c r="C232" s="51"/>
      <c r="D232" s="51"/>
      <c r="E232" s="51"/>
      <c r="F232" s="51"/>
      <c r="G232" s="58"/>
      <c r="H232" s="51"/>
      <c r="I232" s="57"/>
      <c r="J232" s="57"/>
      <c r="K232" s="57"/>
      <c r="L232" s="57"/>
      <c r="M232" s="51"/>
      <c r="N232" s="51"/>
      <c r="O232" s="51"/>
      <c r="P232" s="51"/>
      <c r="Q232" s="51"/>
      <c r="R232" s="51"/>
      <c r="S232" s="51"/>
      <c r="T232" s="51"/>
      <c r="U232" s="51"/>
      <c r="V232" s="51"/>
      <c r="W232" s="2"/>
      <c r="X232" s="1"/>
      <c r="Y232" s="1"/>
      <c r="Z232" s="1"/>
      <c r="AA232" s="1"/>
      <c r="AB232" s="1"/>
      <c r="AC232" s="1"/>
      <c r="AD232" s="1"/>
      <c r="AE232" s="1"/>
      <c r="AF232" s="1"/>
      <c r="AG232" s="3"/>
    </row>
    <row r="233" spans="1:33" ht="13.5" customHeight="1" x14ac:dyDescent="0.3">
      <c r="A233" s="1"/>
      <c r="B233" s="51"/>
      <c r="C233" s="51"/>
      <c r="D233" s="51"/>
      <c r="E233" s="51"/>
      <c r="F233" s="51"/>
      <c r="G233" s="58"/>
      <c r="H233" s="51"/>
      <c r="I233" s="57"/>
      <c r="J233" s="57"/>
      <c r="K233" s="57"/>
      <c r="L233" s="57"/>
      <c r="M233" s="51"/>
      <c r="N233" s="51"/>
      <c r="O233" s="51"/>
      <c r="P233" s="51"/>
      <c r="Q233" s="51"/>
      <c r="R233" s="51"/>
      <c r="S233" s="51"/>
      <c r="T233" s="51"/>
      <c r="U233" s="51"/>
      <c r="V233" s="51"/>
      <c r="W233" s="2"/>
      <c r="X233" s="1"/>
      <c r="Y233" s="1"/>
      <c r="Z233" s="1"/>
      <c r="AA233" s="1"/>
      <c r="AB233" s="1"/>
      <c r="AC233" s="1"/>
      <c r="AD233" s="1"/>
      <c r="AE233" s="1"/>
      <c r="AF233" s="1"/>
      <c r="AG233" s="3"/>
    </row>
    <row r="234" spans="1:33" ht="13.5" customHeight="1" x14ac:dyDescent="0.3">
      <c r="A234" s="1"/>
      <c r="B234" s="51"/>
      <c r="C234" s="51"/>
      <c r="D234" s="51"/>
      <c r="E234" s="51"/>
      <c r="F234" s="51"/>
      <c r="G234" s="58"/>
      <c r="H234" s="51"/>
      <c r="I234" s="57"/>
      <c r="J234" s="57"/>
      <c r="K234" s="57"/>
      <c r="L234" s="57"/>
      <c r="M234" s="51"/>
      <c r="N234" s="51"/>
      <c r="O234" s="51"/>
      <c r="P234" s="51"/>
      <c r="Q234" s="51"/>
      <c r="R234" s="51"/>
      <c r="S234" s="51"/>
      <c r="T234" s="51"/>
      <c r="U234" s="51"/>
      <c r="V234" s="51"/>
      <c r="W234" s="2"/>
      <c r="X234" s="1"/>
      <c r="Y234" s="1"/>
      <c r="Z234" s="1"/>
      <c r="AA234" s="1"/>
      <c r="AB234" s="1"/>
      <c r="AC234" s="1"/>
      <c r="AD234" s="1"/>
      <c r="AE234" s="1"/>
      <c r="AF234" s="1"/>
      <c r="AG234" s="3"/>
    </row>
    <row r="235" spans="1:33" ht="13.5" customHeight="1" x14ac:dyDescent="0.3">
      <c r="A235" s="1"/>
      <c r="B235" s="51"/>
      <c r="C235" s="51"/>
      <c r="D235" s="51"/>
      <c r="E235" s="51"/>
      <c r="F235" s="51"/>
      <c r="G235" s="58"/>
      <c r="H235" s="51"/>
      <c r="I235" s="57"/>
      <c r="J235" s="57"/>
      <c r="K235" s="57"/>
      <c r="L235" s="57"/>
      <c r="M235" s="51"/>
      <c r="N235" s="51"/>
      <c r="O235" s="51"/>
      <c r="P235" s="51"/>
      <c r="Q235" s="51"/>
      <c r="R235" s="51"/>
      <c r="S235" s="51"/>
      <c r="T235" s="51"/>
      <c r="U235" s="51"/>
      <c r="V235" s="51"/>
      <c r="W235" s="2"/>
      <c r="X235" s="1"/>
      <c r="Y235" s="1"/>
      <c r="Z235" s="1"/>
      <c r="AA235" s="1"/>
      <c r="AB235" s="1"/>
      <c r="AC235" s="1"/>
      <c r="AD235" s="1"/>
      <c r="AE235" s="1"/>
      <c r="AF235" s="1"/>
      <c r="AG235" s="3"/>
    </row>
    <row r="236" spans="1:33" ht="13.5" customHeight="1" x14ac:dyDescent="0.3">
      <c r="A236" s="1"/>
      <c r="B236" s="51"/>
      <c r="C236" s="51"/>
      <c r="D236" s="51"/>
      <c r="E236" s="51"/>
      <c r="F236" s="51"/>
      <c r="G236" s="58"/>
      <c r="H236" s="51"/>
      <c r="I236" s="57"/>
      <c r="J236" s="57"/>
      <c r="K236" s="57"/>
      <c r="L236" s="57"/>
      <c r="M236" s="51"/>
      <c r="N236" s="51"/>
      <c r="O236" s="51"/>
      <c r="P236" s="51"/>
      <c r="Q236" s="51"/>
      <c r="R236" s="51"/>
      <c r="S236" s="51"/>
      <c r="T236" s="51"/>
      <c r="U236" s="51"/>
      <c r="V236" s="51"/>
      <c r="W236" s="2"/>
      <c r="X236" s="1"/>
      <c r="Y236" s="1"/>
      <c r="Z236" s="1"/>
      <c r="AA236" s="1"/>
      <c r="AB236" s="1"/>
      <c r="AC236" s="1"/>
      <c r="AD236" s="1"/>
      <c r="AE236" s="1"/>
      <c r="AF236" s="1"/>
      <c r="AG236" s="3"/>
    </row>
    <row r="237" spans="1:33" ht="13.5" customHeight="1" x14ac:dyDescent="0.3">
      <c r="A237" s="1"/>
      <c r="B237" s="51"/>
      <c r="C237" s="51"/>
      <c r="D237" s="51"/>
      <c r="E237" s="51"/>
      <c r="F237" s="51"/>
      <c r="G237" s="58"/>
      <c r="H237" s="51"/>
      <c r="I237" s="57"/>
      <c r="J237" s="57"/>
      <c r="K237" s="57"/>
      <c r="L237" s="57"/>
      <c r="M237" s="51"/>
      <c r="N237" s="51"/>
      <c r="O237" s="51"/>
      <c r="P237" s="51"/>
      <c r="Q237" s="51"/>
      <c r="R237" s="51"/>
      <c r="S237" s="51"/>
      <c r="T237" s="51"/>
      <c r="U237" s="51"/>
      <c r="V237" s="51"/>
      <c r="W237" s="2"/>
      <c r="X237" s="1"/>
      <c r="Y237" s="1"/>
      <c r="Z237" s="1"/>
      <c r="AA237" s="1"/>
      <c r="AB237" s="1"/>
      <c r="AC237" s="1"/>
      <c r="AD237" s="1"/>
      <c r="AE237" s="1"/>
      <c r="AF237" s="1"/>
      <c r="AG237" s="3"/>
    </row>
    <row r="238" spans="1:33" ht="13.5" customHeight="1" x14ac:dyDescent="0.3">
      <c r="A238" s="1"/>
      <c r="B238" s="51"/>
      <c r="C238" s="51"/>
      <c r="D238" s="51"/>
      <c r="E238" s="51"/>
      <c r="F238" s="51"/>
      <c r="G238" s="58"/>
      <c r="H238" s="51"/>
      <c r="I238" s="57"/>
      <c r="J238" s="57"/>
      <c r="K238" s="57"/>
      <c r="L238" s="57"/>
      <c r="M238" s="51"/>
      <c r="N238" s="51"/>
      <c r="O238" s="51"/>
      <c r="P238" s="51"/>
      <c r="Q238" s="51"/>
      <c r="R238" s="51"/>
      <c r="S238" s="51"/>
      <c r="T238" s="51"/>
      <c r="U238" s="51"/>
      <c r="V238" s="51"/>
      <c r="W238" s="2"/>
      <c r="X238" s="1"/>
      <c r="Y238" s="1"/>
      <c r="Z238" s="1"/>
      <c r="AA238" s="1"/>
      <c r="AB238" s="1"/>
      <c r="AC238" s="1"/>
      <c r="AD238" s="1"/>
      <c r="AE238" s="1"/>
      <c r="AF238" s="1"/>
      <c r="AG238" s="3"/>
    </row>
    <row r="239" spans="1:33" ht="13.5" customHeight="1" x14ac:dyDescent="0.3">
      <c r="A239" s="1"/>
      <c r="B239" s="51"/>
      <c r="C239" s="51"/>
      <c r="D239" s="51"/>
      <c r="E239" s="51"/>
      <c r="F239" s="51"/>
      <c r="G239" s="58"/>
      <c r="H239" s="51"/>
      <c r="I239" s="57"/>
      <c r="J239" s="57"/>
      <c r="K239" s="57"/>
      <c r="L239" s="57"/>
      <c r="M239" s="51"/>
      <c r="N239" s="51"/>
      <c r="O239" s="51"/>
      <c r="P239" s="51"/>
      <c r="Q239" s="51"/>
      <c r="R239" s="51"/>
      <c r="S239" s="51"/>
      <c r="T239" s="51"/>
      <c r="U239" s="51"/>
      <c r="V239" s="51"/>
      <c r="W239" s="2"/>
      <c r="X239" s="1"/>
      <c r="Y239" s="1"/>
      <c r="Z239" s="1"/>
      <c r="AA239" s="1"/>
      <c r="AB239" s="1"/>
      <c r="AC239" s="1"/>
      <c r="AD239" s="1"/>
      <c r="AE239" s="1"/>
      <c r="AF239" s="1"/>
      <c r="AG239" s="3"/>
    </row>
    <row r="240" spans="1:33" ht="13.5" customHeight="1" x14ac:dyDescent="0.3">
      <c r="A240" s="1"/>
      <c r="B240" s="51"/>
      <c r="C240" s="51"/>
      <c r="D240" s="51"/>
      <c r="E240" s="51"/>
      <c r="F240" s="51"/>
      <c r="G240" s="58"/>
      <c r="H240" s="51"/>
      <c r="I240" s="57"/>
      <c r="J240" s="57"/>
      <c r="K240" s="57"/>
      <c r="L240" s="57"/>
      <c r="M240" s="51"/>
      <c r="N240" s="51"/>
      <c r="O240" s="51"/>
      <c r="P240" s="51"/>
      <c r="Q240" s="51"/>
      <c r="R240" s="51"/>
      <c r="S240" s="51"/>
      <c r="T240" s="51"/>
      <c r="U240" s="51"/>
      <c r="V240" s="51"/>
      <c r="W240" s="2"/>
      <c r="X240" s="1"/>
      <c r="Y240" s="1"/>
      <c r="Z240" s="1"/>
      <c r="AA240" s="1"/>
      <c r="AB240" s="1"/>
      <c r="AC240" s="1"/>
      <c r="AD240" s="1"/>
      <c r="AE240" s="1"/>
      <c r="AF240" s="1"/>
      <c r="AG240" s="3"/>
    </row>
    <row r="241" spans="1:33" ht="13.5" customHeight="1" x14ac:dyDescent="0.3">
      <c r="A241" s="1"/>
      <c r="B241" s="51"/>
      <c r="C241" s="51"/>
      <c r="D241" s="51"/>
      <c r="E241" s="51"/>
      <c r="F241" s="51"/>
      <c r="G241" s="58"/>
      <c r="H241" s="51"/>
      <c r="I241" s="57"/>
      <c r="J241" s="57"/>
      <c r="K241" s="57"/>
      <c r="L241" s="57"/>
      <c r="M241" s="51"/>
      <c r="N241" s="51"/>
      <c r="O241" s="51"/>
      <c r="P241" s="51"/>
      <c r="Q241" s="51"/>
      <c r="R241" s="51"/>
      <c r="S241" s="51"/>
      <c r="T241" s="51"/>
      <c r="U241" s="51"/>
      <c r="V241" s="51"/>
      <c r="W241" s="2"/>
      <c r="X241" s="1"/>
      <c r="Y241" s="1"/>
      <c r="Z241" s="1"/>
      <c r="AA241" s="1"/>
      <c r="AB241" s="1"/>
      <c r="AC241" s="1"/>
      <c r="AD241" s="1"/>
      <c r="AE241" s="1"/>
      <c r="AF241" s="1"/>
      <c r="AG241" s="3"/>
    </row>
    <row r="242" spans="1:33" ht="13.5" customHeight="1" x14ac:dyDescent="0.3">
      <c r="A242" s="1"/>
      <c r="B242" s="51"/>
      <c r="C242" s="51"/>
      <c r="D242" s="51"/>
      <c r="E242" s="51"/>
      <c r="F242" s="51"/>
      <c r="G242" s="58"/>
      <c r="H242" s="51"/>
      <c r="I242" s="57"/>
      <c r="J242" s="57"/>
      <c r="K242" s="57"/>
      <c r="L242" s="57"/>
      <c r="M242" s="51"/>
      <c r="N242" s="51"/>
      <c r="O242" s="51"/>
      <c r="P242" s="51"/>
      <c r="Q242" s="51"/>
      <c r="R242" s="51"/>
      <c r="S242" s="51"/>
      <c r="T242" s="51"/>
      <c r="U242" s="51"/>
      <c r="V242" s="51"/>
      <c r="W242" s="2"/>
      <c r="X242" s="1"/>
      <c r="Y242" s="1"/>
      <c r="Z242" s="1"/>
      <c r="AA242" s="1"/>
      <c r="AB242" s="1"/>
      <c r="AC242" s="1"/>
      <c r="AD242" s="1"/>
      <c r="AE242" s="1"/>
      <c r="AF242" s="1"/>
      <c r="AG242" s="3"/>
    </row>
    <row r="243" spans="1:33" ht="13.5" customHeight="1" x14ac:dyDescent="0.3">
      <c r="A243" s="1"/>
      <c r="B243" s="51"/>
      <c r="C243" s="51"/>
      <c r="D243" s="51"/>
      <c r="E243" s="51"/>
      <c r="F243" s="51"/>
      <c r="G243" s="58"/>
      <c r="H243" s="51"/>
      <c r="I243" s="57"/>
      <c r="J243" s="57"/>
      <c r="K243" s="57"/>
      <c r="L243" s="57"/>
      <c r="M243" s="51"/>
      <c r="N243" s="51"/>
      <c r="O243" s="51"/>
      <c r="P243" s="51"/>
      <c r="Q243" s="51"/>
      <c r="R243" s="51"/>
      <c r="S243" s="51"/>
      <c r="T243" s="51"/>
      <c r="U243" s="51"/>
      <c r="V243" s="51"/>
      <c r="W243" s="2"/>
      <c r="X243" s="1"/>
      <c r="Y243" s="1"/>
      <c r="Z243" s="1"/>
      <c r="AA243" s="1"/>
      <c r="AB243" s="1"/>
      <c r="AC243" s="1"/>
      <c r="AD243" s="1"/>
      <c r="AE243" s="1"/>
      <c r="AF243" s="1"/>
      <c r="AG243" s="3"/>
    </row>
    <row r="244" spans="1:33" ht="13.5" customHeight="1" x14ac:dyDescent="0.3">
      <c r="A244" s="1"/>
      <c r="B244" s="51"/>
      <c r="C244" s="51"/>
      <c r="D244" s="51"/>
      <c r="E244" s="51"/>
      <c r="F244" s="51"/>
      <c r="G244" s="58"/>
      <c r="H244" s="51"/>
      <c r="I244" s="57"/>
      <c r="J244" s="57"/>
      <c r="K244" s="57"/>
      <c r="L244" s="57"/>
      <c r="M244" s="51"/>
      <c r="N244" s="51"/>
      <c r="O244" s="51"/>
      <c r="P244" s="51"/>
      <c r="Q244" s="51"/>
      <c r="R244" s="51"/>
      <c r="S244" s="51"/>
      <c r="T244" s="51"/>
      <c r="U244" s="51"/>
      <c r="V244" s="51"/>
      <c r="W244" s="2"/>
      <c r="X244" s="1"/>
      <c r="Y244" s="1"/>
      <c r="Z244" s="1"/>
      <c r="AA244" s="1"/>
      <c r="AB244" s="1"/>
      <c r="AC244" s="1"/>
      <c r="AD244" s="1"/>
      <c r="AE244" s="1"/>
      <c r="AF244" s="1"/>
      <c r="AG244" s="3"/>
    </row>
    <row r="245" spans="1:33" ht="13.5" customHeight="1" x14ac:dyDescent="0.3">
      <c r="A245" s="1"/>
      <c r="B245" s="51"/>
      <c r="C245" s="51"/>
      <c r="D245" s="51"/>
      <c r="E245" s="51"/>
      <c r="F245" s="51"/>
      <c r="G245" s="58"/>
      <c r="H245" s="51"/>
      <c r="I245" s="57"/>
      <c r="J245" s="57"/>
      <c r="K245" s="57"/>
      <c r="L245" s="57"/>
      <c r="M245" s="51"/>
      <c r="N245" s="51"/>
      <c r="O245" s="51"/>
      <c r="P245" s="51"/>
      <c r="Q245" s="51"/>
      <c r="R245" s="51"/>
      <c r="S245" s="51"/>
      <c r="T245" s="51"/>
      <c r="U245" s="51"/>
      <c r="V245" s="51"/>
      <c r="W245" s="2"/>
      <c r="X245" s="1"/>
      <c r="Y245" s="1"/>
      <c r="Z245" s="1"/>
      <c r="AA245" s="1"/>
      <c r="AB245" s="1"/>
      <c r="AC245" s="1"/>
      <c r="AD245" s="1"/>
      <c r="AE245" s="1"/>
      <c r="AF245" s="1"/>
      <c r="AG245" s="3"/>
    </row>
    <row r="246" spans="1:33" ht="13.5" customHeight="1" x14ac:dyDescent="0.3">
      <c r="A246" s="1"/>
      <c r="B246" s="51"/>
      <c r="C246" s="51"/>
      <c r="D246" s="51"/>
      <c r="E246" s="51"/>
      <c r="F246" s="51"/>
      <c r="G246" s="58"/>
      <c r="H246" s="51"/>
      <c r="I246" s="57"/>
      <c r="J246" s="57"/>
      <c r="K246" s="57"/>
      <c r="L246" s="57"/>
      <c r="M246" s="51"/>
      <c r="N246" s="51"/>
      <c r="O246" s="51"/>
      <c r="P246" s="51"/>
      <c r="Q246" s="51"/>
      <c r="R246" s="51"/>
      <c r="S246" s="51"/>
      <c r="T246" s="51"/>
      <c r="U246" s="51"/>
      <c r="V246" s="51"/>
      <c r="W246" s="2"/>
      <c r="X246" s="1"/>
      <c r="Y246" s="1"/>
      <c r="Z246" s="1"/>
      <c r="AA246" s="1"/>
      <c r="AB246" s="1"/>
      <c r="AC246" s="1"/>
      <c r="AD246" s="1"/>
      <c r="AE246" s="1"/>
      <c r="AF246" s="1"/>
      <c r="AG246" s="3"/>
    </row>
    <row r="247" spans="1:33" ht="13.5" customHeight="1" x14ac:dyDescent="0.3">
      <c r="A247" s="1"/>
      <c r="B247" s="51"/>
      <c r="C247" s="51"/>
      <c r="D247" s="51"/>
      <c r="E247" s="51"/>
      <c r="F247" s="51"/>
      <c r="G247" s="58"/>
      <c r="H247" s="51"/>
      <c r="I247" s="57"/>
      <c r="J247" s="57"/>
      <c r="K247" s="57"/>
      <c r="L247" s="57"/>
      <c r="M247" s="51"/>
      <c r="N247" s="51"/>
      <c r="O247" s="51"/>
      <c r="P247" s="51"/>
      <c r="Q247" s="51"/>
      <c r="R247" s="51"/>
      <c r="S247" s="51"/>
      <c r="T247" s="51"/>
      <c r="U247" s="51"/>
      <c r="V247" s="51"/>
      <c r="W247" s="2"/>
      <c r="X247" s="1"/>
      <c r="Y247" s="1"/>
      <c r="Z247" s="1"/>
      <c r="AA247" s="1"/>
      <c r="AB247" s="1"/>
      <c r="AC247" s="1"/>
      <c r="AD247" s="1"/>
      <c r="AE247" s="1"/>
      <c r="AF247" s="1"/>
      <c r="AG247" s="3"/>
    </row>
    <row r="248" spans="1:33" ht="13.5" customHeight="1" x14ac:dyDescent="0.3">
      <c r="A248" s="1"/>
      <c r="B248" s="51"/>
      <c r="C248" s="51"/>
      <c r="D248" s="51"/>
      <c r="E248" s="51"/>
      <c r="F248" s="51"/>
      <c r="G248" s="58"/>
      <c r="H248" s="51"/>
      <c r="I248" s="57"/>
      <c r="J248" s="57"/>
      <c r="K248" s="57"/>
      <c r="L248" s="57"/>
      <c r="M248" s="51"/>
      <c r="N248" s="51"/>
      <c r="O248" s="51"/>
      <c r="P248" s="51"/>
      <c r="Q248" s="51"/>
      <c r="R248" s="51"/>
      <c r="S248" s="51"/>
      <c r="T248" s="51"/>
      <c r="U248" s="51"/>
      <c r="V248" s="51"/>
      <c r="W248" s="2"/>
      <c r="X248" s="1"/>
      <c r="Y248" s="1"/>
      <c r="Z248" s="1"/>
      <c r="AA248" s="1"/>
      <c r="AB248" s="1"/>
      <c r="AC248" s="1"/>
      <c r="AD248" s="1"/>
      <c r="AE248" s="1"/>
      <c r="AF248" s="1"/>
      <c r="AG248" s="3"/>
    </row>
    <row r="249" spans="1:33" ht="13.5" customHeight="1" x14ac:dyDescent="0.3">
      <c r="A249" s="1"/>
      <c r="B249" s="51"/>
      <c r="C249" s="51"/>
      <c r="D249" s="51"/>
      <c r="E249" s="51"/>
      <c r="F249" s="51"/>
      <c r="G249" s="58"/>
      <c r="H249" s="51"/>
      <c r="I249" s="57"/>
      <c r="J249" s="57"/>
      <c r="K249" s="57"/>
      <c r="L249" s="57"/>
      <c r="M249" s="51"/>
      <c r="N249" s="51"/>
      <c r="O249" s="51"/>
      <c r="P249" s="51"/>
      <c r="Q249" s="51"/>
      <c r="R249" s="51"/>
      <c r="S249" s="51"/>
      <c r="T249" s="51"/>
      <c r="U249" s="51"/>
      <c r="V249" s="51"/>
      <c r="W249" s="2"/>
      <c r="X249" s="1"/>
      <c r="Y249" s="1"/>
      <c r="Z249" s="1"/>
      <c r="AA249" s="1"/>
      <c r="AB249" s="1"/>
      <c r="AC249" s="1"/>
      <c r="AD249" s="1"/>
      <c r="AE249" s="1"/>
      <c r="AF249" s="1"/>
      <c r="AG249" s="3"/>
    </row>
    <row r="250" spans="1:33" ht="13.5" customHeight="1" x14ac:dyDescent="0.3">
      <c r="A250" s="1"/>
      <c r="B250" s="51"/>
      <c r="C250" s="51"/>
      <c r="D250" s="51"/>
      <c r="E250" s="51"/>
      <c r="F250" s="51"/>
      <c r="G250" s="58"/>
      <c r="H250" s="51"/>
      <c r="I250" s="57"/>
      <c r="J250" s="57"/>
      <c r="K250" s="57"/>
      <c r="L250" s="57"/>
      <c r="M250" s="51"/>
      <c r="N250" s="51"/>
      <c r="O250" s="51"/>
      <c r="P250" s="51"/>
      <c r="Q250" s="51"/>
      <c r="R250" s="51"/>
      <c r="S250" s="51"/>
      <c r="T250" s="51"/>
      <c r="U250" s="51"/>
      <c r="V250" s="51"/>
      <c r="W250" s="2"/>
      <c r="X250" s="1"/>
      <c r="Y250" s="1"/>
      <c r="Z250" s="1"/>
      <c r="AA250" s="1"/>
      <c r="AB250" s="1"/>
      <c r="AC250" s="1"/>
      <c r="AD250" s="1"/>
      <c r="AE250" s="1"/>
      <c r="AF250" s="1"/>
      <c r="AG250" s="3"/>
    </row>
    <row r="251" spans="1:33" ht="13.5" customHeight="1" x14ac:dyDescent="0.3">
      <c r="A251" s="1"/>
      <c r="B251" s="51"/>
      <c r="C251" s="51"/>
      <c r="D251" s="51"/>
      <c r="E251" s="51"/>
      <c r="F251" s="51"/>
      <c r="G251" s="58"/>
      <c r="H251" s="51"/>
      <c r="I251" s="57"/>
      <c r="J251" s="57"/>
      <c r="K251" s="57"/>
      <c r="L251" s="57"/>
      <c r="M251" s="51"/>
      <c r="N251" s="51"/>
      <c r="O251" s="51"/>
      <c r="P251" s="51"/>
      <c r="Q251" s="51"/>
      <c r="R251" s="51"/>
      <c r="S251" s="51"/>
      <c r="T251" s="51"/>
      <c r="U251" s="51"/>
      <c r="V251" s="51"/>
      <c r="W251" s="2"/>
      <c r="X251" s="1"/>
      <c r="Y251" s="1"/>
      <c r="Z251" s="1"/>
      <c r="AA251" s="1"/>
      <c r="AB251" s="1"/>
      <c r="AC251" s="1"/>
      <c r="AD251" s="1"/>
      <c r="AE251" s="1"/>
      <c r="AF251" s="1"/>
      <c r="AG251" s="3"/>
    </row>
    <row r="252" spans="1:33" ht="13.5" customHeight="1" x14ac:dyDescent="0.3">
      <c r="A252" s="1"/>
      <c r="B252" s="51"/>
      <c r="C252" s="51"/>
      <c r="D252" s="51"/>
      <c r="E252" s="51"/>
      <c r="F252" s="51"/>
      <c r="G252" s="58"/>
      <c r="H252" s="51"/>
      <c r="I252" s="57"/>
      <c r="J252" s="57"/>
      <c r="K252" s="57"/>
      <c r="L252" s="57"/>
      <c r="M252" s="51"/>
      <c r="N252" s="51"/>
      <c r="O252" s="51"/>
      <c r="P252" s="51"/>
      <c r="Q252" s="51"/>
      <c r="R252" s="51"/>
      <c r="S252" s="51"/>
      <c r="T252" s="51"/>
      <c r="U252" s="51"/>
      <c r="V252" s="51"/>
      <c r="W252" s="2"/>
      <c r="X252" s="1"/>
      <c r="Y252" s="1"/>
      <c r="Z252" s="1"/>
      <c r="AA252" s="1"/>
      <c r="AB252" s="1"/>
      <c r="AC252" s="1"/>
      <c r="AD252" s="1"/>
      <c r="AE252" s="1"/>
      <c r="AF252" s="1"/>
      <c r="AG252" s="3"/>
    </row>
    <row r="253" spans="1:33" ht="13.5" customHeight="1" x14ac:dyDescent="0.3">
      <c r="A253" s="1"/>
      <c r="B253" s="51"/>
      <c r="C253" s="51"/>
      <c r="D253" s="51"/>
      <c r="E253" s="51"/>
      <c r="F253" s="51"/>
      <c r="G253" s="58"/>
      <c r="H253" s="51"/>
      <c r="I253" s="57"/>
      <c r="J253" s="57"/>
      <c r="K253" s="57"/>
      <c r="L253" s="57"/>
      <c r="M253" s="51"/>
      <c r="N253" s="51"/>
      <c r="O253" s="51"/>
      <c r="P253" s="51"/>
      <c r="Q253" s="51"/>
      <c r="R253" s="51"/>
      <c r="S253" s="51"/>
      <c r="T253" s="51"/>
      <c r="U253" s="51"/>
      <c r="V253" s="51"/>
      <c r="W253" s="2"/>
      <c r="X253" s="1"/>
      <c r="Y253" s="1"/>
      <c r="Z253" s="1"/>
      <c r="AA253" s="1"/>
      <c r="AB253" s="1"/>
      <c r="AC253" s="1"/>
      <c r="AD253" s="1"/>
      <c r="AE253" s="1"/>
      <c r="AF253" s="1"/>
      <c r="AG253" s="3"/>
    </row>
    <row r="254" spans="1:33" ht="13.5" customHeight="1" x14ac:dyDescent="0.3">
      <c r="A254" s="1"/>
      <c r="B254" s="51"/>
      <c r="C254" s="51"/>
      <c r="D254" s="51"/>
      <c r="E254" s="51"/>
      <c r="F254" s="51"/>
      <c r="G254" s="58"/>
      <c r="H254" s="51"/>
      <c r="I254" s="57"/>
      <c r="J254" s="57"/>
      <c r="K254" s="57"/>
      <c r="L254" s="57"/>
      <c r="M254" s="51"/>
      <c r="N254" s="51"/>
      <c r="O254" s="51"/>
      <c r="P254" s="51"/>
      <c r="Q254" s="51"/>
      <c r="R254" s="51"/>
      <c r="S254" s="51"/>
      <c r="T254" s="51"/>
      <c r="U254" s="51"/>
      <c r="V254" s="51"/>
      <c r="W254" s="2"/>
      <c r="X254" s="1"/>
      <c r="Y254" s="1"/>
      <c r="Z254" s="1"/>
      <c r="AA254" s="1"/>
      <c r="AB254" s="1"/>
      <c r="AC254" s="1"/>
      <c r="AD254" s="1"/>
      <c r="AE254" s="1"/>
      <c r="AF254" s="1"/>
      <c r="AG254" s="3"/>
    </row>
    <row r="255" spans="1:33" ht="13.5" customHeight="1" x14ac:dyDescent="0.3">
      <c r="A255" s="1"/>
      <c r="B255" s="51"/>
      <c r="C255" s="51"/>
      <c r="D255" s="51"/>
      <c r="E255" s="51"/>
      <c r="F255" s="51"/>
      <c r="G255" s="58"/>
      <c r="H255" s="51"/>
      <c r="I255" s="57"/>
      <c r="J255" s="57"/>
      <c r="K255" s="57"/>
      <c r="L255" s="57"/>
      <c r="M255" s="51"/>
      <c r="N255" s="51"/>
      <c r="O255" s="51"/>
      <c r="P255" s="51"/>
      <c r="Q255" s="51"/>
      <c r="R255" s="51"/>
      <c r="S255" s="51"/>
      <c r="T255" s="51"/>
      <c r="U255" s="51"/>
      <c r="V255" s="51"/>
      <c r="W255" s="2"/>
      <c r="X255" s="1"/>
      <c r="Y255" s="1"/>
      <c r="Z255" s="1"/>
      <c r="AA255" s="1"/>
      <c r="AB255" s="1"/>
      <c r="AC255" s="1"/>
      <c r="AD255" s="1"/>
      <c r="AE255" s="1"/>
      <c r="AF255" s="1"/>
      <c r="AG255" s="3"/>
    </row>
    <row r="256" spans="1:33" ht="13.5" customHeight="1" x14ac:dyDescent="0.3">
      <c r="A256" s="1"/>
      <c r="B256" s="51"/>
      <c r="C256" s="51"/>
      <c r="D256" s="51"/>
      <c r="E256" s="51"/>
      <c r="F256" s="51"/>
      <c r="G256" s="58"/>
      <c r="H256" s="51"/>
      <c r="I256" s="57"/>
      <c r="J256" s="57"/>
      <c r="K256" s="57"/>
      <c r="L256" s="57"/>
      <c r="M256" s="51"/>
      <c r="N256" s="51"/>
      <c r="O256" s="51"/>
      <c r="P256" s="51"/>
      <c r="Q256" s="51"/>
      <c r="R256" s="51"/>
      <c r="S256" s="51"/>
      <c r="T256" s="51"/>
      <c r="U256" s="51"/>
      <c r="V256" s="51"/>
      <c r="W256" s="2"/>
      <c r="X256" s="1"/>
      <c r="Y256" s="1"/>
      <c r="Z256" s="1"/>
      <c r="AA256" s="1"/>
      <c r="AB256" s="1"/>
      <c r="AC256" s="1"/>
      <c r="AD256" s="1"/>
      <c r="AE256" s="1"/>
      <c r="AF256" s="1"/>
      <c r="AG256" s="3"/>
    </row>
    <row r="257" spans="1:33" ht="13.5" customHeight="1" x14ac:dyDescent="0.3">
      <c r="A257" s="1"/>
      <c r="B257" s="51"/>
      <c r="C257" s="51"/>
      <c r="D257" s="51"/>
      <c r="E257" s="51"/>
      <c r="F257" s="51"/>
      <c r="G257" s="58"/>
      <c r="H257" s="51"/>
      <c r="I257" s="57"/>
      <c r="J257" s="57"/>
      <c r="K257" s="57"/>
      <c r="L257" s="57"/>
      <c r="M257" s="51"/>
      <c r="N257" s="51"/>
      <c r="O257" s="51"/>
      <c r="P257" s="51"/>
      <c r="Q257" s="51"/>
      <c r="R257" s="51"/>
      <c r="S257" s="51"/>
      <c r="T257" s="51"/>
      <c r="U257" s="51"/>
      <c r="V257" s="51"/>
      <c r="W257" s="2"/>
      <c r="X257" s="1"/>
      <c r="Y257" s="1"/>
      <c r="Z257" s="1"/>
      <c r="AA257" s="1"/>
      <c r="AB257" s="1"/>
      <c r="AC257" s="1"/>
      <c r="AD257" s="1"/>
      <c r="AE257" s="1"/>
      <c r="AF257" s="1"/>
      <c r="AG257" s="3"/>
    </row>
    <row r="258" spans="1:33" ht="13.5" customHeight="1" x14ac:dyDescent="0.3">
      <c r="A258" s="1"/>
      <c r="B258" s="51"/>
      <c r="C258" s="51"/>
      <c r="D258" s="51"/>
      <c r="E258" s="51"/>
      <c r="F258" s="51"/>
      <c r="G258" s="58"/>
      <c r="H258" s="51"/>
      <c r="I258" s="57"/>
      <c r="J258" s="57"/>
      <c r="K258" s="57"/>
      <c r="L258" s="57"/>
      <c r="M258" s="51"/>
      <c r="N258" s="51"/>
      <c r="O258" s="51"/>
      <c r="P258" s="51"/>
      <c r="Q258" s="51"/>
      <c r="R258" s="51"/>
      <c r="S258" s="51"/>
      <c r="T258" s="51"/>
      <c r="U258" s="51"/>
      <c r="V258" s="51"/>
      <c r="W258" s="2"/>
      <c r="X258" s="1"/>
      <c r="Y258" s="1"/>
      <c r="Z258" s="1"/>
      <c r="AA258" s="1"/>
      <c r="AB258" s="1"/>
      <c r="AC258" s="1"/>
      <c r="AD258" s="1"/>
      <c r="AE258" s="1"/>
      <c r="AF258" s="1"/>
      <c r="AG258" s="3"/>
    </row>
    <row r="259" spans="1:33" ht="13.5" customHeight="1" x14ac:dyDescent="0.3">
      <c r="A259" s="1"/>
      <c r="B259" s="51"/>
      <c r="C259" s="51"/>
      <c r="D259" s="51"/>
      <c r="E259" s="51"/>
      <c r="F259" s="51"/>
      <c r="G259" s="58"/>
      <c r="H259" s="51"/>
      <c r="I259" s="57"/>
      <c r="J259" s="57"/>
      <c r="K259" s="57"/>
      <c r="L259" s="57"/>
      <c r="M259" s="51"/>
      <c r="N259" s="51"/>
      <c r="O259" s="51"/>
      <c r="P259" s="51"/>
      <c r="Q259" s="51"/>
      <c r="R259" s="51"/>
      <c r="S259" s="51"/>
      <c r="T259" s="51"/>
      <c r="U259" s="51"/>
      <c r="V259" s="51"/>
      <c r="W259" s="2"/>
      <c r="X259" s="1"/>
      <c r="Y259" s="1"/>
      <c r="Z259" s="1"/>
      <c r="AA259" s="1"/>
      <c r="AB259" s="1"/>
      <c r="AC259" s="1"/>
      <c r="AD259" s="1"/>
      <c r="AE259" s="1"/>
      <c r="AF259" s="1"/>
      <c r="AG259" s="3"/>
    </row>
    <row r="260" spans="1:33" ht="13.5" customHeight="1" x14ac:dyDescent="0.3">
      <c r="A260" s="1"/>
      <c r="B260" s="51"/>
      <c r="C260" s="51"/>
      <c r="D260" s="51"/>
      <c r="E260" s="51"/>
      <c r="F260" s="51"/>
      <c r="G260" s="58"/>
      <c r="H260" s="51"/>
      <c r="I260" s="57"/>
      <c r="J260" s="57"/>
      <c r="K260" s="57"/>
      <c r="L260" s="57"/>
      <c r="M260" s="51"/>
      <c r="N260" s="51"/>
      <c r="O260" s="51"/>
      <c r="P260" s="51"/>
      <c r="Q260" s="51"/>
      <c r="R260" s="51"/>
      <c r="S260" s="51"/>
      <c r="T260" s="51"/>
      <c r="U260" s="51"/>
      <c r="V260" s="51"/>
      <c r="W260" s="2"/>
      <c r="X260" s="1"/>
      <c r="Y260" s="1"/>
      <c r="Z260" s="1"/>
      <c r="AA260" s="1"/>
      <c r="AB260" s="1"/>
      <c r="AC260" s="1"/>
      <c r="AD260" s="1"/>
      <c r="AE260" s="1"/>
      <c r="AF260" s="1"/>
      <c r="AG260" s="3"/>
    </row>
    <row r="261" spans="1:33" ht="13.5" customHeight="1" x14ac:dyDescent="0.3">
      <c r="A261" s="1"/>
      <c r="B261" s="51"/>
      <c r="C261" s="51"/>
      <c r="D261" s="51"/>
      <c r="E261" s="51"/>
      <c r="F261" s="51"/>
      <c r="G261" s="58"/>
      <c r="H261" s="51"/>
      <c r="I261" s="57"/>
      <c r="J261" s="57"/>
      <c r="K261" s="57"/>
      <c r="L261" s="57"/>
      <c r="M261" s="51"/>
      <c r="N261" s="51"/>
      <c r="O261" s="51"/>
      <c r="P261" s="51"/>
      <c r="Q261" s="51"/>
      <c r="R261" s="51"/>
      <c r="S261" s="51"/>
      <c r="T261" s="51"/>
      <c r="U261" s="51"/>
      <c r="V261" s="51"/>
      <c r="W261" s="2"/>
      <c r="X261" s="1"/>
      <c r="Y261" s="1"/>
      <c r="Z261" s="1"/>
      <c r="AA261" s="1"/>
      <c r="AB261" s="1"/>
      <c r="AC261" s="1"/>
      <c r="AD261" s="1"/>
      <c r="AE261" s="1"/>
      <c r="AF261" s="1"/>
      <c r="AG261" s="3"/>
    </row>
    <row r="262" spans="1:33" ht="13.5" customHeight="1" x14ac:dyDescent="0.3">
      <c r="A262" s="1"/>
      <c r="B262" s="51"/>
      <c r="C262" s="51"/>
      <c r="D262" s="51"/>
      <c r="E262" s="51"/>
      <c r="F262" s="51"/>
      <c r="G262" s="58"/>
      <c r="H262" s="51"/>
      <c r="I262" s="57"/>
      <c r="J262" s="57"/>
      <c r="K262" s="57"/>
      <c r="L262" s="57"/>
      <c r="M262" s="51"/>
      <c r="N262" s="51"/>
      <c r="O262" s="51"/>
      <c r="P262" s="51"/>
      <c r="Q262" s="51"/>
      <c r="R262" s="51"/>
      <c r="S262" s="51"/>
      <c r="T262" s="51"/>
      <c r="U262" s="51"/>
      <c r="V262" s="51"/>
      <c r="W262" s="2"/>
      <c r="X262" s="1"/>
      <c r="Y262" s="1"/>
      <c r="Z262" s="1"/>
      <c r="AA262" s="1"/>
      <c r="AB262" s="1"/>
      <c r="AC262" s="1"/>
      <c r="AD262" s="1"/>
      <c r="AE262" s="1"/>
      <c r="AF262" s="1"/>
      <c r="AG262" s="3"/>
    </row>
    <row r="263" spans="1:33" ht="13.5" customHeight="1" x14ac:dyDescent="0.3">
      <c r="A263" s="1"/>
      <c r="B263" s="51"/>
      <c r="C263" s="51"/>
      <c r="D263" s="51"/>
      <c r="E263" s="51"/>
      <c r="F263" s="51"/>
      <c r="G263" s="58"/>
      <c r="H263" s="51"/>
      <c r="I263" s="57"/>
      <c r="J263" s="57"/>
      <c r="K263" s="57"/>
      <c r="L263" s="57"/>
      <c r="M263" s="51"/>
      <c r="N263" s="51"/>
      <c r="O263" s="51"/>
      <c r="P263" s="51"/>
      <c r="Q263" s="51"/>
      <c r="R263" s="51"/>
      <c r="S263" s="51"/>
      <c r="T263" s="51"/>
      <c r="U263" s="51"/>
      <c r="V263" s="51"/>
      <c r="W263" s="2"/>
      <c r="X263" s="1"/>
      <c r="Y263" s="1"/>
      <c r="Z263" s="1"/>
      <c r="AA263" s="1"/>
      <c r="AB263" s="1"/>
      <c r="AC263" s="1"/>
      <c r="AD263" s="1"/>
      <c r="AE263" s="1"/>
      <c r="AF263" s="1"/>
      <c r="AG263" s="3"/>
    </row>
    <row r="264" spans="1:33" ht="13.5" customHeight="1" x14ac:dyDescent="0.3">
      <c r="A264" s="1"/>
      <c r="B264" s="51"/>
      <c r="C264" s="51"/>
      <c r="D264" s="51"/>
      <c r="E264" s="51"/>
      <c r="F264" s="51"/>
      <c r="G264" s="58"/>
      <c r="H264" s="51"/>
      <c r="I264" s="57"/>
      <c r="J264" s="57"/>
      <c r="K264" s="57"/>
      <c r="L264" s="57"/>
      <c r="M264" s="51"/>
      <c r="N264" s="51"/>
      <c r="O264" s="51"/>
      <c r="P264" s="51"/>
      <c r="Q264" s="51"/>
      <c r="R264" s="51"/>
      <c r="S264" s="51"/>
      <c r="T264" s="51"/>
      <c r="U264" s="51"/>
      <c r="V264" s="51"/>
      <c r="W264" s="2"/>
      <c r="X264" s="1"/>
      <c r="Y264" s="1"/>
      <c r="Z264" s="1"/>
      <c r="AA264" s="1"/>
      <c r="AB264" s="1"/>
      <c r="AC264" s="1"/>
      <c r="AD264" s="1"/>
      <c r="AE264" s="1"/>
      <c r="AF264" s="1"/>
      <c r="AG264" s="3"/>
    </row>
    <row r="265" spans="1:33" ht="13.5" customHeight="1" x14ac:dyDescent="0.3">
      <c r="A265" s="1"/>
      <c r="B265" s="51"/>
      <c r="C265" s="51"/>
      <c r="D265" s="51"/>
      <c r="E265" s="51"/>
      <c r="F265" s="51"/>
      <c r="G265" s="58"/>
      <c r="H265" s="51"/>
      <c r="I265" s="57"/>
      <c r="J265" s="57"/>
      <c r="K265" s="57"/>
      <c r="L265" s="57"/>
      <c r="M265" s="51"/>
      <c r="N265" s="51"/>
      <c r="O265" s="51"/>
      <c r="P265" s="51"/>
      <c r="Q265" s="51"/>
      <c r="R265" s="51"/>
      <c r="S265" s="51"/>
      <c r="T265" s="51"/>
      <c r="U265" s="51"/>
      <c r="V265" s="51"/>
      <c r="W265" s="2"/>
      <c r="X265" s="1"/>
      <c r="Y265" s="1"/>
      <c r="Z265" s="1"/>
      <c r="AA265" s="1"/>
      <c r="AB265" s="1"/>
      <c r="AC265" s="1"/>
      <c r="AD265" s="1"/>
      <c r="AE265" s="1"/>
      <c r="AF265" s="1"/>
      <c r="AG265" s="3"/>
    </row>
    <row r="266" spans="1:33" ht="13.5" customHeight="1" x14ac:dyDescent="0.3">
      <c r="A266" s="1"/>
      <c r="B266" s="51"/>
      <c r="C266" s="51"/>
      <c r="D266" s="51"/>
      <c r="E266" s="51"/>
      <c r="F266" s="51"/>
      <c r="G266" s="58"/>
      <c r="H266" s="51"/>
      <c r="I266" s="57"/>
      <c r="J266" s="57"/>
      <c r="K266" s="57"/>
      <c r="L266" s="57"/>
      <c r="M266" s="51"/>
      <c r="N266" s="51"/>
      <c r="O266" s="51"/>
      <c r="P266" s="51"/>
      <c r="Q266" s="51"/>
      <c r="R266" s="51"/>
      <c r="S266" s="51"/>
      <c r="T266" s="51"/>
      <c r="U266" s="51"/>
      <c r="V266" s="51"/>
      <c r="W266" s="2"/>
      <c r="X266" s="1"/>
      <c r="Y266" s="1"/>
      <c r="Z266" s="1"/>
      <c r="AA266" s="1"/>
      <c r="AB266" s="1"/>
      <c r="AC266" s="1"/>
      <c r="AD266" s="1"/>
      <c r="AE266" s="1"/>
      <c r="AF266" s="1"/>
      <c r="AG266" s="3"/>
    </row>
    <row r="267" spans="1:33" ht="13.5" customHeight="1" x14ac:dyDescent="0.3">
      <c r="A267" s="1"/>
      <c r="B267" s="51"/>
      <c r="C267" s="51"/>
      <c r="D267" s="51"/>
      <c r="E267" s="51"/>
      <c r="F267" s="51"/>
      <c r="G267" s="58"/>
      <c r="H267" s="51"/>
      <c r="I267" s="57"/>
      <c r="J267" s="57"/>
      <c r="K267" s="57"/>
      <c r="L267" s="57"/>
      <c r="M267" s="51"/>
      <c r="N267" s="51"/>
      <c r="O267" s="51"/>
      <c r="P267" s="51"/>
      <c r="Q267" s="51"/>
      <c r="R267" s="51"/>
      <c r="S267" s="51"/>
      <c r="T267" s="51"/>
      <c r="U267" s="51"/>
      <c r="V267" s="51"/>
      <c r="W267" s="2"/>
      <c r="X267" s="1"/>
      <c r="Y267" s="1"/>
      <c r="Z267" s="1"/>
      <c r="AA267" s="1"/>
      <c r="AB267" s="1"/>
      <c r="AC267" s="1"/>
      <c r="AD267" s="1"/>
      <c r="AE267" s="1"/>
      <c r="AF267" s="1"/>
      <c r="AG267" s="3"/>
    </row>
    <row r="268" spans="1:33" ht="13.5" customHeight="1" x14ac:dyDescent="0.3">
      <c r="A268" s="1"/>
      <c r="B268" s="51"/>
      <c r="C268" s="51"/>
      <c r="D268" s="51"/>
      <c r="E268" s="51"/>
      <c r="F268" s="51"/>
      <c r="G268" s="58"/>
      <c r="H268" s="51"/>
      <c r="I268" s="57"/>
      <c r="J268" s="57"/>
      <c r="K268" s="57"/>
      <c r="L268" s="57"/>
      <c r="M268" s="51"/>
      <c r="N268" s="51"/>
      <c r="O268" s="51"/>
      <c r="P268" s="51"/>
      <c r="Q268" s="51"/>
      <c r="R268" s="51"/>
      <c r="S268" s="51"/>
      <c r="T268" s="51"/>
      <c r="U268" s="51"/>
      <c r="V268" s="51"/>
      <c r="W268" s="2"/>
      <c r="X268" s="1"/>
      <c r="Y268" s="1"/>
      <c r="Z268" s="1"/>
      <c r="AA268" s="1"/>
      <c r="AB268" s="1"/>
      <c r="AC268" s="1"/>
      <c r="AD268" s="1"/>
      <c r="AE268" s="1"/>
      <c r="AF268" s="1"/>
      <c r="AG268" s="3"/>
    </row>
    <row r="269" spans="1:33" ht="13.5" customHeight="1" x14ac:dyDescent="0.3">
      <c r="A269" s="1"/>
      <c r="B269" s="51"/>
      <c r="C269" s="51"/>
      <c r="D269" s="51"/>
      <c r="E269" s="51"/>
      <c r="F269" s="51"/>
      <c r="G269" s="58"/>
      <c r="H269" s="51"/>
      <c r="I269" s="57"/>
      <c r="J269" s="57"/>
      <c r="K269" s="57"/>
      <c r="L269" s="57"/>
      <c r="M269" s="51"/>
      <c r="N269" s="51"/>
      <c r="O269" s="51"/>
      <c r="P269" s="51"/>
      <c r="Q269" s="51"/>
      <c r="R269" s="51"/>
      <c r="S269" s="51"/>
      <c r="T269" s="51"/>
      <c r="U269" s="51"/>
      <c r="V269" s="51"/>
      <c r="W269" s="2"/>
      <c r="X269" s="1"/>
      <c r="Y269" s="1"/>
      <c r="Z269" s="1"/>
      <c r="AA269" s="1"/>
      <c r="AB269" s="1"/>
      <c r="AC269" s="1"/>
      <c r="AD269" s="1"/>
      <c r="AE269" s="1"/>
      <c r="AF269" s="1"/>
      <c r="AG269" s="3"/>
    </row>
    <row r="270" spans="1:33" ht="13.5" customHeight="1" x14ac:dyDescent="0.3">
      <c r="A270" s="1"/>
      <c r="B270" s="51"/>
      <c r="C270" s="51"/>
      <c r="D270" s="51"/>
      <c r="E270" s="51"/>
      <c r="F270" s="51"/>
      <c r="G270" s="58"/>
      <c r="H270" s="51"/>
      <c r="I270" s="57"/>
      <c r="J270" s="57"/>
      <c r="K270" s="57"/>
      <c r="L270" s="57"/>
      <c r="M270" s="51"/>
      <c r="N270" s="51"/>
      <c r="O270" s="51"/>
      <c r="P270" s="51"/>
      <c r="Q270" s="51"/>
      <c r="R270" s="51"/>
      <c r="S270" s="51"/>
      <c r="T270" s="51"/>
      <c r="U270" s="51"/>
      <c r="V270" s="51"/>
      <c r="W270" s="2"/>
      <c r="X270" s="1"/>
      <c r="Y270" s="1"/>
      <c r="Z270" s="1"/>
      <c r="AA270" s="1"/>
      <c r="AB270" s="1"/>
      <c r="AC270" s="1"/>
      <c r="AD270" s="1"/>
      <c r="AE270" s="1"/>
      <c r="AF270" s="1"/>
      <c r="AG270" s="3"/>
    </row>
    <row r="271" spans="1:33" ht="13.5" customHeight="1" x14ac:dyDescent="0.3">
      <c r="A271" s="1"/>
      <c r="B271" s="51"/>
      <c r="C271" s="51"/>
      <c r="D271" s="51"/>
      <c r="E271" s="51"/>
      <c r="F271" s="51"/>
      <c r="G271" s="58"/>
      <c r="H271" s="51"/>
      <c r="I271" s="57"/>
      <c r="J271" s="57"/>
      <c r="K271" s="57"/>
      <c r="L271" s="57"/>
      <c r="M271" s="51"/>
      <c r="N271" s="51"/>
      <c r="O271" s="51"/>
      <c r="P271" s="51"/>
      <c r="Q271" s="51"/>
      <c r="R271" s="51"/>
      <c r="S271" s="51"/>
      <c r="T271" s="51"/>
      <c r="U271" s="51"/>
      <c r="V271" s="51"/>
      <c r="W271" s="2"/>
      <c r="X271" s="1"/>
      <c r="Y271" s="1"/>
      <c r="Z271" s="1"/>
      <c r="AA271" s="1"/>
      <c r="AB271" s="1"/>
      <c r="AC271" s="1"/>
      <c r="AD271" s="1"/>
      <c r="AE271" s="1"/>
      <c r="AF271" s="1"/>
      <c r="AG271" s="3"/>
    </row>
    <row r="272" spans="1:33" ht="13.5" customHeight="1" x14ac:dyDescent="0.3">
      <c r="A272" s="1"/>
      <c r="B272" s="51"/>
      <c r="C272" s="51"/>
      <c r="D272" s="51"/>
      <c r="E272" s="51"/>
      <c r="F272" s="51"/>
      <c r="G272" s="58"/>
      <c r="H272" s="51"/>
      <c r="I272" s="57"/>
      <c r="J272" s="57"/>
      <c r="K272" s="57"/>
      <c r="L272" s="57"/>
      <c r="M272" s="51"/>
      <c r="N272" s="51"/>
      <c r="O272" s="51"/>
      <c r="P272" s="51"/>
      <c r="Q272" s="51"/>
      <c r="R272" s="51"/>
      <c r="S272" s="51"/>
      <c r="T272" s="51"/>
      <c r="U272" s="51"/>
      <c r="V272" s="51"/>
      <c r="W272" s="2"/>
      <c r="X272" s="1"/>
      <c r="Y272" s="1"/>
      <c r="Z272" s="1"/>
      <c r="AA272" s="1"/>
      <c r="AB272" s="1"/>
      <c r="AC272" s="1"/>
      <c r="AD272" s="1"/>
      <c r="AE272" s="1"/>
      <c r="AF272" s="1"/>
      <c r="AG272" s="3"/>
    </row>
    <row r="273" spans="1:33" ht="13.5" customHeight="1" x14ac:dyDescent="0.3">
      <c r="A273" s="1"/>
      <c r="B273" s="51"/>
      <c r="C273" s="51"/>
      <c r="D273" s="51"/>
      <c r="E273" s="51"/>
      <c r="F273" s="51"/>
      <c r="G273" s="58"/>
      <c r="H273" s="51"/>
      <c r="I273" s="57"/>
      <c r="J273" s="57"/>
      <c r="K273" s="57"/>
      <c r="L273" s="57"/>
      <c r="M273" s="51"/>
      <c r="N273" s="51"/>
      <c r="O273" s="51"/>
      <c r="P273" s="51"/>
      <c r="Q273" s="51"/>
      <c r="R273" s="51"/>
      <c r="S273" s="51"/>
      <c r="T273" s="51"/>
      <c r="U273" s="51"/>
      <c r="V273" s="51"/>
      <c r="W273" s="2"/>
      <c r="X273" s="1"/>
      <c r="Y273" s="1"/>
      <c r="Z273" s="1"/>
      <c r="AA273" s="1"/>
      <c r="AB273" s="1"/>
      <c r="AC273" s="1"/>
      <c r="AD273" s="1"/>
      <c r="AE273" s="1"/>
      <c r="AF273" s="1"/>
      <c r="AG273" s="3"/>
    </row>
    <row r="274" spans="1:33" ht="13.5" customHeight="1" x14ac:dyDescent="0.3">
      <c r="A274" s="1"/>
      <c r="B274" s="51"/>
      <c r="C274" s="51"/>
      <c r="D274" s="51"/>
      <c r="E274" s="51"/>
      <c r="F274" s="51"/>
      <c r="G274" s="58"/>
      <c r="H274" s="51"/>
      <c r="I274" s="57"/>
      <c r="J274" s="57"/>
      <c r="K274" s="57"/>
      <c r="L274" s="57"/>
      <c r="M274" s="51"/>
      <c r="N274" s="51"/>
      <c r="O274" s="51"/>
      <c r="P274" s="51"/>
      <c r="Q274" s="51"/>
      <c r="R274" s="51"/>
      <c r="S274" s="51"/>
      <c r="T274" s="51"/>
      <c r="U274" s="51"/>
      <c r="V274" s="51"/>
      <c r="W274" s="2"/>
      <c r="X274" s="1"/>
      <c r="Y274" s="1"/>
      <c r="Z274" s="1"/>
      <c r="AA274" s="1"/>
      <c r="AB274" s="1"/>
      <c r="AC274" s="1"/>
      <c r="AD274" s="1"/>
      <c r="AE274" s="1"/>
      <c r="AF274" s="1"/>
      <c r="AG274" s="3"/>
    </row>
    <row r="275" spans="1:33" ht="13.5" customHeight="1" x14ac:dyDescent="0.3">
      <c r="A275" s="1"/>
      <c r="B275" s="51"/>
      <c r="C275" s="51"/>
      <c r="D275" s="51"/>
      <c r="E275" s="51"/>
      <c r="F275" s="51"/>
      <c r="G275" s="58"/>
      <c r="H275" s="51"/>
      <c r="I275" s="57"/>
      <c r="J275" s="57"/>
      <c r="K275" s="57"/>
      <c r="L275" s="57"/>
      <c r="M275" s="51"/>
      <c r="N275" s="51"/>
      <c r="O275" s="51"/>
      <c r="P275" s="51"/>
      <c r="Q275" s="51"/>
      <c r="R275" s="51"/>
      <c r="S275" s="51"/>
      <c r="T275" s="51"/>
      <c r="U275" s="51"/>
      <c r="V275" s="51"/>
      <c r="W275" s="2"/>
      <c r="X275" s="1"/>
      <c r="Y275" s="1"/>
      <c r="Z275" s="1"/>
      <c r="AA275" s="1"/>
      <c r="AB275" s="1"/>
      <c r="AC275" s="1"/>
      <c r="AD275" s="1"/>
      <c r="AE275" s="1"/>
      <c r="AF275" s="1"/>
      <c r="AG275" s="3"/>
    </row>
    <row r="276" spans="1:33" ht="13.5" customHeight="1" x14ac:dyDescent="0.3">
      <c r="A276" s="1"/>
      <c r="B276" s="51"/>
      <c r="C276" s="51"/>
      <c r="D276" s="51"/>
      <c r="E276" s="51"/>
      <c r="F276" s="51"/>
      <c r="G276" s="58"/>
      <c r="H276" s="51"/>
      <c r="I276" s="57"/>
      <c r="J276" s="57"/>
      <c r="K276" s="57"/>
      <c r="L276" s="57"/>
      <c r="M276" s="51"/>
      <c r="N276" s="51"/>
      <c r="O276" s="51"/>
      <c r="P276" s="51"/>
      <c r="Q276" s="51"/>
      <c r="R276" s="51"/>
      <c r="S276" s="51"/>
      <c r="T276" s="51"/>
      <c r="U276" s="51"/>
      <c r="V276" s="51"/>
      <c r="W276" s="2"/>
      <c r="X276" s="1"/>
      <c r="Y276" s="1"/>
      <c r="Z276" s="1"/>
      <c r="AA276" s="1"/>
      <c r="AB276" s="1"/>
      <c r="AC276" s="1"/>
      <c r="AD276" s="1"/>
      <c r="AE276" s="1"/>
      <c r="AF276" s="1"/>
      <c r="AG276" s="3"/>
    </row>
    <row r="277" spans="1:33" ht="13.5" customHeight="1" x14ac:dyDescent="0.3">
      <c r="A277" s="1"/>
      <c r="B277" s="51"/>
      <c r="C277" s="51"/>
      <c r="D277" s="51"/>
      <c r="E277" s="51"/>
      <c r="F277" s="51"/>
      <c r="G277" s="58"/>
      <c r="H277" s="51"/>
      <c r="I277" s="57"/>
      <c r="J277" s="57"/>
      <c r="K277" s="57"/>
      <c r="L277" s="57"/>
      <c r="M277" s="51"/>
      <c r="N277" s="51"/>
      <c r="O277" s="51"/>
      <c r="P277" s="51"/>
      <c r="Q277" s="51"/>
      <c r="R277" s="51"/>
      <c r="S277" s="51"/>
      <c r="T277" s="51"/>
      <c r="U277" s="51"/>
      <c r="V277" s="51"/>
      <c r="W277" s="2"/>
      <c r="X277" s="1"/>
      <c r="Y277" s="1"/>
      <c r="Z277" s="1"/>
      <c r="AA277" s="1"/>
      <c r="AB277" s="1"/>
      <c r="AC277" s="1"/>
      <c r="AD277" s="1"/>
      <c r="AE277" s="1"/>
      <c r="AF277" s="1"/>
      <c r="AG277" s="3"/>
    </row>
    <row r="278" spans="1:33" ht="13.5" customHeight="1" x14ac:dyDescent="0.3">
      <c r="A278" s="1"/>
      <c r="B278" s="51"/>
      <c r="C278" s="51"/>
      <c r="D278" s="51"/>
      <c r="E278" s="51"/>
      <c r="F278" s="51"/>
      <c r="G278" s="58"/>
      <c r="H278" s="51"/>
      <c r="I278" s="57"/>
      <c r="J278" s="57"/>
      <c r="K278" s="57"/>
      <c r="L278" s="57"/>
      <c r="M278" s="51"/>
      <c r="N278" s="51"/>
      <c r="O278" s="51"/>
      <c r="P278" s="51"/>
      <c r="Q278" s="51"/>
      <c r="R278" s="51"/>
      <c r="S278" s="51"/>
      <c r="T278" s="51"/>
      <c r="U278" s="51"/>
      <c r="V278" s="51"/>
      <c r="W278" s="2"/>
      <c r="X278" s="1"/>
      <c r="Y278" s="1"/>
      <c r="Z278" s="1"/>
      <c r="AA278" s="1"/>
      <c r="AB278" s="1"/>
      <c r="AC278" s="1"/>
      <c r="AD278" s="1"/>
      <c r="AE278" s="1"/>
      <c r="AF278" s="1"/>
      <c r="AG278" s="3"/>
    </row>
    <row r="279" spans="1:33" ht="13.5" customHeight="1" x14ac:dyDescent="0.3">
      <c r="A279" s="1"/>
      <c r="B279" s="51"/>
      <c r="C279" s="51"/>
      <c r="D279" s="51"/>
      <c r="E279" s="51"/>
      <c r="F279" s="51"/>
      <c r="G279" s="58"/>
      <c r="H279" s="51"/>
      <c r="I279" s="57"/>
      <c r="J279" s="57"/>
      <c r="K279" s="57"/>
      <c r="L279" s="57"/>
      <c r="M279" s="51"/>
      <c r="N279" s="51"/>
      <c r="O279" s="51"/>
      <c r="P279" s="51"/>
      <c r="Q279" s="51"/>
      <c r="R279" s="51"/>
      <c r="S279" s="51"/>
      <c r="T279" s="51"/>
      <c r="U279" s="51"/>
      <c r="V279" s="51"/>
      <c r="W279" s="2"/>
      <c r="X279" s="1"/>
      <c r="Y279" s="1"/>
      <c r="Z279" s="1"/>
      <c r="AA279" s="1"/>
      <c r="AB279" s="1"/>
      <c r="AC279" s="1"/>
      <c r="AD279" s="1"/>
      <c r="AE279" s="1"/>
      <c r="AF279" s="1"/>
      <c r="AG279" s="3"/>
    </row>
    <row r="280" spans="1:33" ht="13.5" customHeight="1" x14ac:dyDescent="0.3">
      <c r="A280" s="1"/>
      <c r="B280" s="51"/>
      <c r="C280" s="51"/>
      <c r="D280" s="51"/>
      <c r="E280" s="51"/>
      <c r="F280" s="51"/>
      <c r="G280" s="58"/>
      <c r="H280" s="51"/>
      <c r="I280" s="57"/>
      <c r="J280" s="57"/>
      <c r="K280" s="57"/>
      <c r="L280" s="57"/>
      <c r="M280" s="51"/>
      <c r="N280" s="51"/>
      <c r="O280" s="51"/>
      <c r="P280" s="51"/>
      <c r="Q280" s="51"/>
      <c r="R280" s="51"/>
      <c r="S280" s="51"/>
      <c r="T280" s="51"/>
      <c r="U280" s="51"/>
      <c r="V280" s="51"/>
      <c r="W280" s="2"/>
      <c r="X280" s="1"/>
      <c r="Y280" s="1"/>
      <c r="Z280" s="1"/>
      <c r="AA280" s="1"/>
      <c r="AB280" s="1"/>
      <c r="AC280" s="1"/>
      <c r="AD280" s="1"/>
      <c r="AE280" s="1"/>
      <c r="AF280" s="1"/>
      <c r="AG280" s="3"/>
    </row>
    <row r="281" spans="1:33" ht="13.5" customHeight="1" x14ac:dyDescent="0.3">
      <c r="A281" s="1"/>
      <c r="B281" s="51"/>
      <c r="C281" s="51"/>
      <c r="D281" s="51"/>
      <c r="E281" s="51"/>
      <c r="F281" s="51"/>
      <c r="G281" s="58"/>
      <c r="H281" s="51"/>
      <c r="I281" s="57"/>
      <c r="J281" s="57"/>
      <c r="K281" s="57"/>
      <c r="L281" s="57"/>
      <c r="M281" s="51"/>
      <c r="N281" s="51"/>
      <c r="O281" s="51"/>
      <c r="P281" s="51"/>
      <c r="Q281" s="51"/>
      <c r="R281" s="51"/>
      <c r="S281" s="51"/>
      <c r="T281" s="51"/>
      <c r="U281" s="51"/>
      <c r="V281" s="51"/>
      <c r="W281" s="2"/>
      <c r="X281" s="1"/>
      <c r="Y281" s="1"/>
      <c r="Z281" s="1"/>
      <c r="AA281" s="1"/>
      <c r="AB281" s="1"/>
      <c r="AC281" s="1"/>
      <c r="AD281" s="1"/>
      <c r="AE281" s="1"/>
      <c r="AF281" s="1"/>
      <c r="AG281" s="3"/>
    </row>
    <row r="282" spans="1:33" ht="13.5" customHeight="1" x14ac:dyDescent="0.3">
      <c r="A282" s="1"/>
      <c r="B282" s="51"/>
      <c r="C282" s="51"/>
      <c r="D282" s="51"/>
      <c r="E282" s="51"/>
      <c r="F282" s="51"/>
      <c r="G282" s="58"/>
      <c r="H282" s="51"/>
      <c r="I282" s="57"/>
      <c r="J282" s="57"/>
      <c r="K282" s="57"/>
      <c r="L282" s="57"/>
      <c r="M282" s="51"/>
      <c r="N282" s="51"/>
      <c r="O282" s="51"/>
      <c r="P282" s="51"/>
      <c r="Q282" s="51"/>
      <c r="R282" s="51"/>
      <c r="S282" s="51"/>
      <c r="T282" s="51"/>
      <c r="U282" s="51"/>
      <c r="V282" s="51"/>
      <c r="W282" s="2"/>
      <c r="X282" s="1"/>
      <c r="Y282" s="1"/>
      <c r="Z282" s="1"/>
      <c r="AA282" s="1"/>
      <c r="AB282" s="1"/>
      <c r="AC282" s="1"/>
      <c r="AD282" s="1"/>
      <c r="AE282" s="1"/>
      <c r="AF282" s="1"/>
      <c r="AG282" s="3"/>
    </row>
    <row r="283" spans="1:33" ht="13.5" customHeight="1" x14ac:dyDescent="0.3">
      <c r="A283" s="1"/>
      <c r="B283" s="51"/>
      <c r="C283" s="51"/>
      <c r="D283" s="51"/>
      <c r="E283" s="51"/>
      <c r="F283" s="51"/>
      <c r="G283" s="58"/>
      <c r="H283" s="51"/>
      <c r="I283" s="57"/>
      <c r="J283" s="57"/>
      <c r="K283" s="57"/>
      <c r="L283" s="57"/>
      <c r="M283" s="51"/>
      <c r="N283" s="51"/>
      <c r="O283" s="51"/>
      <c r="P283" s="51"/>
      <c r="Q283" s="51"/>
      <c r="R283" s="51"/>
      <c r="S283" s="51"/>
      <c r="T283" s="51"/>
      <c r="U283" s="51"/>
      <c r="V283" s="51"/>
      <c r="W283" s="2"/>
      <c r="X283" s="1"/>
      <c r="Y283" s="1"/>
      <c r="Z283" s="1"/>
      <c r="AA283" s="1"/>
      <c r="AB283" s="1"/>
      <c r="AC283" s="1"/>
      <c r="AD283" s="1"/>
      <c r="AE283" s="1"/>
      <c r="AF283" s="1"/>
      <c r="AG283" s="3"/>
    </row>
    <row r="284" spans="1:33" ht="13.5" customHeight="1" x14ac:dyDescent="0.3">
      <c r="A284" s="1"/>
      <c r="B284" s="51"/>
      <c r="C284" s="51"/>
      <c r="D284" s="51"/>
      <c r="E284" s="51"/>
      <c r="F284" s="51"/>
      <c r="G284" s="58"/>
      <c r="H284" s="51"/>
      <c r="I284" s="57"/>
      <c r="J284" s="57"/>
      <c r="K284" s="57"/>
      <c r="L284" s="57"/>
      <c r="M284" s="51"/>
      <c r="N284" s="51"/>
      <c r="O284" s="51"/>
      <c r="P284" s="51"/>
      <c r="Q284" s="51"/>
      <c r="R284" s="51"/>
      <c r="S284" s="51"/>
      <c r="T284" s="51"/>
      <c r="U284" s="51"/>
      <c r="V284" s="51"/>
      <c r="W284" s="2"/>
      <c r="X284" s="1"/>
      <c r="Y284" s="1"/>
      <c r="Z284" s="1"/>
      <c r="AA284" s="1"/>
      <c r="AB284" s="1"/>
      <c r="AC284" s="1"/>
      <c r="AD284" s="1"/>
      <c r="AE284" s="1"/>
      <c r="AF284" s="1"/>
      <c r="AG284" s="3"/>
    </row>
    <row r="285" spans="1:33" ht="13.5" customHeight="1" x14ac:dyDescent="0.3">
      <c r="A285" s="1"/>
      <c r="B285" s="51"/>
      <c r="C285" s="51"/>
      <c r="D285" s="51"/>
      <c r="E285" s="51"/>
      <c r="F285" s="51"/>
      <c r="G285" s="58"/>
      <c r="H285" s="51"/>
      <c r="I285" s="57"/>
      <c r="J285" s="57"/>
      <c r="K285" s="57"/>
      <c r="L285" s="57"/>
      <c r="M285" s="51"/>
      <c r="N285" s="51"/>
      <c r="O285" s="51"/>
      <c r="P285" s="51"/>
      <c r="Q285" s="51"/>
      <c r="R285" s="51"/>
      <c r="S285" s="51"/>
      <c r="T285" s="51"/>
      <c r="U285" s="51"/>
      <c r="V285" s="51"/>
      <c r="W285" s="2"/>
      <c r="X285" s="1"/>
      <c r="Y285" s="1"/>
      <c r="Z285" s="1"/>
      <c r="AA285" s="1"/>
      <c r="AB285" s="1"/>
      <c r="AC285" s="1"/>
      <c r="AD285" s="1"/>
      <c r="AE285" s="1"/>
      <c r="AF285" s="1"/>
      <c r="AG285" s="3"/>
    </row>
    <row r="286" spans="1:33" ht="13.5" customHeight="1" x14ac:dyDescent="0.3">
      <c r="A286" s="1"/>
      <c r="B286" s="51"/>
      <c r="C286" s="51"/>
      <c r="D286" s="51"/>
      <c r="E286" s="51"/>
      <c r="F286" s="51"/>
      <c r="G286" s="58"/>
      <c r="H286" s="51"/>
      <c r="I286" s="57"/>
      <c r="J286" s="57"/>
      <c r="K286" s="57"/>
      <c r="L286" s="57"/>
      <c r="M286" s="51"/>
      <c r="N286" s="51"/>
      <c r="O286" s="51"/>
      <c r="P286" s="51"/>
      <c r="Q286" s="51"/>
      <c r="R286" s="51"/>
      <c r="S286" s="51"/>
      <c r="T286" s="51"/>
      <c r="U286" s="51"/>
      <c r="V286" s="51"/>
      <c r="W286" s="2"/>
      <c r="X286" s="1"/>
      <c r="Y286" s="1"/>
      <c r="Z286" s="1"/>
      <c r="AA286" s="1"/>
      <c r="AB286" s="1"/>
      <c r="AC286" s="1"/>
      <c r="AD286" s="1"/>
      <c r="AE286" s="1"/>
      <c r="AF286" s="1"/>
      <c r="AG286" s="3"/>
    </row>
    <row r="287" spans="1:33" ht="13.5" customHeight="1" x14ac:dyDescent="0.3">
      <c r="A287" s="1"/>
      <c r="B287" s="51"/>
      <c r="C287" s="51"/>
      <c r="D287" s="51"/>
      <c r="E287" s="51"/>
      <c r="F287" s="51"/>
      <c r="G287" s="58"/>
      <c r="H287" s="51"/>
      <c r="I287" s="57"/>
      <c r="J287" s="57"/>
      <c r="K287" s="57"/>
      <c r="L287" s="57"/>
      <c r="M287" s="51"/>
      <c r="N287" s="51"/>
      <c r="O287" s="51"/>
      <c r="P287" s="51"/>
      <c r="Q287" s="51"/>
      <c r="R287" s="51"/>
      <c r="S287" s="51"/>
      <c r="T287" s="51"/>
      <c r="U287" s="51"/>
      <c r="V287" s="51"/>
      <c r="W287" s="2"/>
      <c r="X287" s="1"/>
      <c r="Y287" s="1"/>
      <c r="Z287" s="1"/>
      <c r="AA287" s="1"/>
      <c r="AB287" s="1"/>
      <c r="AC287" s="1"/>
      <c r="AD287" s="1"/>
      <c r="AE287" s="1"/>
      <c r="AF287" s="1"/>
      <c r="AG287" s="3"/>
    </row>
    <row r="288" spans="1:33" ht="13.5" customHeight="1" x14ac:dyDescent="0.3">
      <c r="A288" s="1"/>
      <c r="B288" s="51"/>
      <c r="C288" s="51"/>
      <c r="D288" s="51"/>
      <c r="E288" s="51"/>
      <c r="F288" s="51"/>
      <c r="G288" s="58"/>
      <c r="H288" s="51"/>
      <c r="I288" s="57"/>
      <c r="J288" s="57"/>
      <c r="K288" s="57"/>
      <c r="L288" s="57"/>
      <c r="M288" s="51"/>
      <c r="N288" s="51"/>
      <c r="O288" s="51"/>
      <c r="P288" s="51"/>
      <c r="Q288" s="51"/>
      <c r="R288" s="51"/>
      <c r="S288" s="51"/>
      <c r="T288" s="51"/>
      <c r="U288" s="51"/>
      <c r="V288" s="51"/>
      <c r="W288" s="2"/>
      <c r="X288" s="1"/>
      <c r="Y288" s="1"/>
      <c r="Z288" s="1"/>
      <c r="AA288" s="1"/>
      <c r="AB288" s="1"/>
      <c r="AC288" s="1"/>
      <c r="AD288" s="1"/>
      <c r="AE288" s="1"/>
      <c r="AF288" s="1"/>
      <c r="AG288" s="3"/>
    </row>
    <row r="289" spans="1:33" ht="13.5" customHeight="1" x14ac:dyDescent="0.3">
      <c r="A289" s="1"/>
      <c r="B289" s="51"/>
      <c r="C289" s="51"/>
      <c r="D289" s="51"/>
      <c r="E289" s="51"/>
      <c r="F289" s="51"/>
      <c r="G289" s="58"/>
      <c r="H289" s="51"/>
      <c r="I289" s="57"/>
      <c r="J289" s="57"/>
      <c r="K289" s="57"/>
      <c r="L289" s="57"/>
      <c r="M289" s="51"/>
      <c r="N289" s="51"/>
      <c r="O289" s="51"/>
      <c r="P289" s="51"/>
      <c r="Q289" s="51"/>
      <c r="R289" s="51"/>
      <c r="S289" s="51"/>
      <c r="T289" s="51"/>
      <c r="U289" s="51"/>
      <c r="V289" s="51"/>
      <c r="W289" s="2"/>
      <c r="X289" s="1"/>
      <c r="Y289" s="1"/>
      <c r="Z289" s="1"/>
      <c r="AA289" s="1"/>
      <c r="AB289" s="1"/>
      <c r="AC289" s="1"/>
      <c r="AD289" s="1"/>
      <c r="AE289" s="1"/>
      <c r="AF289" s="1"/>
      <c r="AG289" s="3"/>
    </row>
    <row r="290" spans="1:33" ht="13.5" customHeight="1" x14ac:dyDescent="0.3">
      <c r="A290" s="1"/>
      <c r="B290" s="51"/>
      <c r="C290" s="51"/>
      <c r="D290" s="51"/>
      <c r="E290" s="51"/>
      <c r="F290" s="51"/>
      <c r="G290" s="58"/>
      <c r="H290" s="51"/>
      <c r="I290" s="57"/>
      <c r="J290" s="57"/>
      <c r="K290" s="57"/>
      <c r="L290" s="57"/>
      <c r="M290" s="51"/>
      <c r="N290" s="51"/>
      <c r="O290" s="51"/>
      <c r="P290" s="51"/>
      <c r="Q290" s="51"/>
      <c r="R290" s="51"/>
      <c r="S290" s="51"/>
      <c r="T290" s="51"/>
      <c r="U290" s="51"/>
      <c r="V290" s="51"/>
      <c r="W290" s="2"/>
      <c r="X290" s="1"/>
      <c r="Y290" s="1"/>
      <c r="Z290" s="1"/>
      <c r="AA290" s="1"/>
      <c r="AB290" s="1"/>
      <c r="AC290" s="1"/>
      <c r="AD290" s="1"/>
      <c r="AE290" s="1"/>
      <c r="AF290" s="1"/>
      <c r="AG290" s="3"/>
    </row>
    <row r="291" spans="1:33" ht="13.5" customHeight="1" x14ac:dyDescent="0.3">
      <c r="A291" s="1"/>
      <c r="B291" s="51"/>
      <c r="C291" s="51"/>
      <c r="D291" s="51"/>
      <c r="E291" s="51"/>
      <c r="F291" s="51"/>
      <c r="G291" s="58"/>
      <c r="H291" s="51"/>
      <c r="I291" s="57"/>
      <c r="J291" s="57"/>
      <c r="K291" s="57"/>
      <c r="L291" s="57"/>
      <c r="M291" s="51"/>
      <c r="N291" s="51"/>
      <c r="O291" s="51"/>
      <c r="P291" s="51"/>
      <c r="Q291" s="51"/>
      <c r="R291" s="51"/>
      <c r="S291" s="51"/>
      <c r="T291" s="51"/>
      <c r="U291" s="51"/>
      <c r="V291" s="51"/>
      <c r="W291" s="2"/>
      <c r="X291" s="1"/>
      <c r="Y291" s="1"/>
      <c r="Z291" s="1"/>
      <c r="AA291" s="1"/>
      <c r="AB291" s="1"/>
      <c r="AC291" s="1"/>
      <c r="AD291" s="1"/>
      <c r="AE291" s="1"/>
      <c r="AF291" s="1"/>
      <c r="AG291" s="3"/>
    </row>
    <row r="292" spans="1:33" ht="13.5" customHeight="1" x14ac:dyDescent="0.3">
      <c r="A292" s="1"/>
      <c r="B292" s="51"/>
      <c r="C292" s="51"/>
      <c r="D292" s="51"/>
      <c r="E292" s="51"/>
      <c r="F292" s="51"/>
      <c r="G292" s="58"/>
      <c r="H292" s="51"/>
      <c r="I292" s="57"/>
      <c r="J292" s="57"/>
      <c r="K292" s="57"/>
      <c r="L292" s="57"/>
      <c r="M292" s="51"/>
      <c r="N292" s="51"/>
      <c r="O292" s="51"/>
      <c r="P292" s="51"/>
      <c r="Q292" s="51"/>
      <c r="R292" s="51"/>
      <c r="S292" s="51"/>
      <c r="T292" s="51"/>
      <c r="U292" s="51"/>
      <c r="V292" s="51"/>
      <c r="W292" s="2"/>
      <c r="X292" s="1"/>
      <c r="Y292" s="1"/>
      <c r="Z292" s="1"/>
      <c r="AA292" s="1"/>
      <c r="AB292" s="1"/>
      <c r="AC292" s="1"/>
      <c r="AD292" s="1"/>
      <c r="AE292" s="1"/>
      <c r="AF292" s="1"/>
      <c r="AG292" s="3"/>
    </row>
    <row r="293" spans="1:33" ht="13.5" customHeight="1" x14ac:dyDescent="0.3">
      <c r="A293" s="1"/>
      <c r="B293" s="51"/>
      <c r="C293" s="51"/>
      <c r="D293" s="51"/>
      <c r="E293" s="51"/>
      <c r="F293" s="51"/>
      <c r="G293" s="58"/>
      <c r="H293" s="51"/>
      <c r="I293" s="57"/>
      <c r="J293" s="57"/>
      <c r="K293" s="57"/>
      <c r="L293" s="57"/>
      <c r="M293" s="51"/>
      <c r="N293" s="51"/>
      <c r="O293" s="51"/>
      <c r="P293" s="51"/>
      <c r="Q293" s="51"/>
      <c r="R293" s="51"/>
      <c r="S293" s="51"/>
      <c r="T293" s="51"/>
      <c r="U293" s="51"/>
      <c r="V293" s="51"/>
      <c r="W293" s="2"/>
      <c r="X293" s="1"/>
      <c r="Y293" s="1"/>
      <c r="Z293" s="1"/>
      <c r="AA293" s="1"/>
      <c r="AB293" s="1"/>
      <c r="AC293" s="1"/>
      <c r="AD293" s="1"/>
      <c r="AE293" s="1"/>
      <c r="AF293" s="1"/>
      <c r="AG293" s="3"/>
    </row>
    <row r="294" spans="1:33" ht="13.5" customHeight="1" x14ac:dyDescent="0.3">
      <c r="A294" s="1"/>
      <c r="B294" s="51"/>
      <c r="C294" s="51"/>
      <c r="D294" s="51"/>
      <c r="E294" s="51"/>
      <c r="F294" s="51"/>
      <c r="G294" s="58"/>
      <c r="H294" s="51"/>
      <c r="I294" s="57"/>
      <c r="J294" s="57"/>
      <c r="K294" s="57"/>
      <c r="L294" s="57"/>
      <c r="M294" s="51"/>
      <c r="N294" s="51"/>
      <c r="O294" s="51"/>
      <c r="P294" s="51"/>
      <c r="Q294" s="51"/>
      <c r="R294" s="51"/>
      <c r="S294" s="51"/>
      <c r="T294" s="51"/>
      <c r="U294" s="51"/>
      <c r="V294" s="51"/>
      <c r="W294" s="2"/>
      <c r="X294" s="1"/>
      <c r="Y294" s="1"/>
      <c r="Z294" s="1"/>
      <c r="AA294" s="1"/>
      <c r="AB294" s="1"/>
      <c r="AC294" s="1"/>
      <c r="AD294" s="1"/>
      <c r="AE294" s="1"/>
      <c r="AF294" s="1"/>
      <c r="AG294" s="3"/>
    </row>
    <row r="295" spans="1:33" ht="13.5" customHeight="1" x14ac:dyDescent="0.3">
      <c r="A295" s="1"/>
      <c r="B295" s="51"/>
      <c r="C295" s="51"/>
      <c r="D295" s="51"/>
      <c r="E295" s="51"/>
      <c r="F295" s="51"/>
      <c r="G295" s="58"/>
      <c r="H295" s="51"/>
      <c r="I295" s="57"/>
      <c r="J295" s="57"/>
      <c r="K295" s="57"/>
      <c r="L295" s="57"/>
      <c r="M295" s="51"/>
      <c r="N295" s="51"/>
      <c r="O295" s="51"/>
      <c r="P295" s="51"/>
      <c r="Q295" s="51"/>
      <c r="R295" s="51"/>
      <c r="S295" s="51"/>
      <c r="T295" s="51"/>
      <c r="U295" s="51"/>
      <c r="V295" s="51"/>
      <c r="W295" s="2"/>
      <c r="X295" s="1"/>
      <c r="Y295" s="1"/>
      <c r="Z295" s="1"/>
      <c r="AA295" s="1"/>
      <c r="AB295" s="1"/>
      <c r="AC295" s="1"/>
      <c r="AD295" s="1"/>
      <c r="AE295" s="1"/>
      <c r="AF295" s="1"/>
      <c r="AG295" s="3"/>
    </row>
    <row r="296" spans="1:33" ht="13.5" customHeight="1" x14ac:dyDescent="0.3">
      <c r="A296" s="1"/>
      <c r="B296" s="51"/>
      <c r="C296" s="51"/>
      <c r="D296" s="51"/>
      <c r="E296" s="51"/>
      <c r="F296" s="51"/>
      <c r="G296" s="58"/>
      <c r="H296" s="51"/>
      <c r="I296" s="57"/>
      <c r="J296" s="57"/>
      <c r="K296" s="57"/>
      <c r="L296" s="57"/>
      <c r="M296" s="51"/>
      <c r="N296" s="51"/>
      <c r="O296" s="51"/>
      <c r="P296" s="51"/>
      <c r="Q296" s="51"/>
      <c r="R296" s="51"/>
      <c r="S296" s="51"/>
      <c r="T296" s="51"/>
      <c r="U296" s="51"/>
      <c r="V296" s="51"/>
      <c r="W296" s="2"/>
      <c r="X296" s="1"/>
      <c r="Y296" s="1"/>
      <c r="Z296" s="1"/>
      <c r="AA296" s="1"/>
      <c r="AB296" s="1"/>
      <c r="AC296" s="1"/>
      <c r="AD296" s="1"/>
      <c r="AE296" s="1"/>
      <c r="AF296" s="1"/>
      <c r="AG296" s="3"/>
    </row>
    <row r="297" spans="1:33" ht="13.5" customHeight="1" x14ac:dyDescent="0.3">
      <c r="A297" s="1"/>
      <c r="B297" s="51"/>
      <c r="C297" s="51"/>
      <c r="D297" s="51"/>
      <c r="E297" s="51"/>
      <c r="F297" s="51"/>
      <c r="G297" s="58"/>
      <c r="H297" s="51"/>
      <c r="I297" s="57"/>
      <c r="J297" s="57"/>
      <c r="K297" s="57"/>
      <c r="L297" s="57"/>
      <c r="M297" s="51"/>
      <c r="N297" s="51"/>
      <c r="O297" s="51"/>
      <c r="P297" s="51"/>
      <c r="Q297" s="51"/>
      <c r="R297" s="51"/>
      <c r="S297" s="51"/>
      <c r="T297" s="51"/>
      <c r="U297" s="51"/>
      <c r="V297" s="51"/>
      <c r="W297" s="2"/>
      <c r="X297" s="1"/>
      <c r="Y297" s="1"/>
      <c r="Z297" s="1"/>
      <c r="AA297" s="1"/>
      <c r="AB297" s="1"/>
      <c r="AC297" s="1"/>
      <c r="AD297" s="1"/>
      <c r="AE297" s="1"/>
      <c r="AF297" s="1"/>
      <c r="AG297" s="3"/>
    </row>
    <row r="298" spans="1:33" ht="13.5" customHeight="1" x14ac:dyDescent="0.3">
      <c r="A298" s="1"/>
      <c r="B298" s="51"/>
      <c r="C298" s="51"/>
      <c r="D298" s="51"/>
      <c r="E298" s="51"/>
      <c r="F298" s="51"/>
      <c r="G298" s="58"/>
      <c r="H298" s="51"/>
      <c r="I298" s="57"/>
      <c r="J298" s="57"/>
      <c r="K298" s="57"/>
      <c r="L298" s="57"/>
      <c r="M298" s="51"/>
      <c r="N298" s="51"/>
      <c r="O298" s="51"/>
      <c r="P298" s="51"/>
      <c r="Q298" s="51"/>
      <c r="R298" s="51"/>
      <c r="S298" s="51"/>
      <c r="T298" s="51"/>
      <c r="U298" s="51"/>
      <c r="V298" s="51"/>
      <c r="W298" s="2"/>
      <c r="X298" s="1"/>
      <c r="Y298" s="1"/>
      <c r="Z298" s="1"/>
      <c r="AA298" s="1"/>
      <c r="AB298" s="1"/>
      <c r="AC298" s="1"/>
      <c r="AD298" s="1"/>
      <c r="AE298" s="1"/>
      <c r="AF298" s="1"/>
      <c r="AG298" s="3"/>
    </row>
    <row r="299" spans="1:33" ht="13.5" customHeight="1" x14ac:dyDescent="0.3">
      <c r="A299" s="1"/>
      <c r="B299" s="51"/>
      <c r="C299" s="51"/>
      <c r="D299" s="51"/>
      <c r="E299" s="51"/>
      <c r="F299" s="51"/>
      <c r="G299" s="58"/>
      <c r="H299" s="51"/>
      <c r="I299" s="57"/>
      <c r="J299" s="57"/>
      <c r="K299" s="57"/>
      <c r="L299" s="57"/>
      <c r="M299" s="51"/>
      <c r="N299" s="51"/>
      <c r="O299" s="51"/>
      <c r="P299" s="51"/>
      <c r="Q299" s="51"/>
      <c r="R299" s="51"/>
      <c r="S299" s="51"/>
      <c r="T299" s="51"/>
      <c r="U299" s="51"/>
      <c r="V299" s="51"/>
      <c r="W299" s="2"/>
      <c r="X299" s="1"/>
      <c r="Y299" s="1"/>
      <c r="Z299" s="1"/>
      <c r="AA299" s="1"/>
      <c r="AB299" s="1"/>
      <c r="AC299" s="1"/>
      <c r="AD299" s="1"/>
      <c r="AE299" s="1"/>
      <c r="AF299" s="1"/>
      <c r="AG299" s="3"/>
    </row>
    <row r="300" spans="1:33" ht="13.5" customHeight="1" x14ac:dyDescent="0.3">
      <c r="A300" s="1"/>
      <c r="B300" s="51"/>
      <c r="C300" s="51"/>
      <c r="D300" s="51"/>
      <c r="E300" s="51"/>
      <c r="F300" s="51"/>
      <c r="G300" s="58"/>
      <c r="H300" s="51"/>
      <c r="I300" s="57"/>
      <c r="J300" s="57"/>
      <c r="K300" s="57"/>
      <c r="L300" s="57"/>
      <c r="M300" s="51"/>
      <c r="N300" s="51"/>
      <c r="O300" s="51"/>
      <c r="P300" s="51"/>
      <c r="Q300" s="51"/>
      <c r="R300" s="51"/>
      <c r="S300" s="51"/>
      <c r="T300" s="51"/>
      <c r="U300" s="51"/>
      <c r="V300" s="51"/>
      <c r="W300" s="2"/>
      <c r="X300" s="1"/>
      <c r="Y300" s="1"/>
      <c r="Z300" s="1"/>
      <c r="AA300" s="1"/>
      <c r="AB300" s="1"/>
      <c r="AC300" s="1"/>
      <c r="AD300" s="1"/>
      <c r="AE300" s="1"/>
      <c r="AF300" s="1"/>
      <c r="AG300" s="3"/>
    </row>
    <row r="301" spans="1:33" ht="13.5" customHeight="1" x14ac:dyDescent="0.3">
      <c r="A301" s="1"/>
      <c r="B301" s="51"/>
      <c r="C301" s="51"/>
      <c r="D301" s="51"/>
      <c r="E301" s="51"/>
      <c r="F301" s="51"/>
      <c r="G301" s="58"/>
      <c r="H301" s="51"/>
      <c r="I301" s="57"/>
      <c r="J301" s="57"/>
      <c r="K301" s="57"/>
      <c r="L301" s="57"/>
      <c r="M301" s="51"/>
      <c r="N301" s="51"/>
      <c r="O301" s="51"/>
      <c r="P301" s="51"/>
      <c r="Q301" s="51"/>
      <c r="R301" s="51"/>
      <c r="S301" s="51"/>
      <c r="T301" s="51"/>
      <c r="U301" s="51"/>
      <c r="V301" s="51"/>
      <c r="W301" s="2"/>
      <c r="X301" s="1"/>
      <c r="Y301" s="1"/>
      <c r="Z301" s="1"/>
      <c r="AA301" s="1"/>
      <c r="AB301" s="1"/>
      <c r="AC301" s="1"/>
      <c r="AD301" s="1"/>
      <c r="AE301" s="1"/>
      <c r="AF301" s="1"/>
      <c r="AG301" s="3"/>
    </row>
    <row r="302" spans="1:33" ht="13.5" customHeight="1" x14ac:dyDescent="0.3">
      <c r="A302" s="1"/>
      <c r="B302" s="51"/>
      <c r="C302" s="51"/>
      <c r="D302" s="51"/>
      <c r="E302" s="51"/>
      <c r="F302" s="51"/>
      <c r="G302" s="58"/>
      <c r="H302" s="51"/>
      <c r="I302" s="57"/>
      <c r="J302" s="57"/>
      <c r="K302" s="57"/>
      <c r="L302" s="57"/>
      <c r="M302" s="51"/>
      <c r="N302" s="51"/>
      <c r="O302" s="51"/>
      <c r="P302" s="51"/>
      <c r="Q302" s="51"/>
      <c r="R302" s="51"/>
      <c r="S302" s="51"/>
      <c r="T302" s="51"/>
      <c r="U302" s="51"/>
      <c r="V302" s="51"/>
      <c r="W302" s="2"/>
      <c r="X302" s="1"/>
      <c r="Y302" s="1"/>
      <c r="Z302" s="1"/>
      <c r="AA302" s="1"/>
      <c r="AB302" s="1"/>
      <c r="AC302" s="1"/>
      <c r="AD302" s="1"/>
      <c r="AE302" s="1"/>
      <c r="AF302" s="1"/>
      <c r="AG302" s="3"/>
    </row>
    <row r="303" spans="1:33" ht="13.5" customHeight="1" x14ac:dyDescent="0.3">
      <c r="A303" s="1"/>
      <c r="B303" s="51"/>
      <c r="C303" s="51"/>
      <c r="D303" s="51"/>
      <c r="E303" s="51"/>
      <c r="F303" s="51"/>
      <c r="G303" s="58"/>
      <c r="H303" s="51"/>
      <c r="I303" s="57"/>
      <c r="J303" s="57"/>
      <c r="K303" s="57"/>
      <c r="L303" s="57"/>
      <c r="M303" s="51"/>
      <c r="N303" s="51"/>
      <c r="O303" s="51"/>
      <c r="P303" s="51"/>
      <c r="Q303" s="51"/>
      <c r="R303" s="51"/>
      <c r="S303" s="51"/>
      <c r="T303" s="51"/>
      <c r="U303" s="51"/>
      <c r="V303" s="51"/>
      <c r="W303" s="2"/>
      <c r="X303" s="1"/>
      <c r="Y303" s="1"/>
      <c r="Z303" s="1"/>
      <c r="AA303" s="1"/>
      <c r="AB303" s="1"/>
      <c r="AC303" s="1"/>
      <c r="AD303" s="1"/>
      <c r="AE303" s="1"/>
      <c r="AF303" s="1"/>
      <c r="AG303" s="3"/>
    </row>
    <row r="304" spans="1:33" ht="13.5" customHeight="1" x14ac:dyDescent="0.3">
      <c r="A304" s="1"/>
      <c r="B304" s="51"/>
      <c r="C304" s="51"/>
      <c r="D304" s="51"/>
      <c r="E304" s="51"/>
      <c r="F304" s="51"/>
      <c r="G304" s="58"/>
      <c r="H304" s="51"/>
      <c r="I304" s="57"/>
      <c r="J304" s="57"/>
      <c r="K304" s="57"/>
      <c r="L304" s="57"/>
      <c r="M304" s="51"/>
      <c r="N304" s="51"/>
      <c r="O304" s="51"/>
      <c r="P304" s="51"/>
      <c r="Q304" s="51"/>
      <c r="R304" s="51"/>
      <c r="S304" s="51"/>
      <c r="T304" s="51"/>
      <c r="U304" s="51"/>
      <c r="V304" s="51"/>
      <c r="W304" s="2"/>
      <c r="X304" s="1"/>
      <c r="Y304" s="1"/>
      <c r="Z304" s="1"/>
      <c r="AA304" s="1"/>
      <c r="AB304" s="1"/>
      <c r="AC304" s="1"/>
      <c r="AD304" s="1"/>
      <c r="AE304" s="1"/>
      <c r="AF304" s="1"/>
      <c r="AG304" s="3"/>
    </row>
    <row r="305" spans="1:33" ht="13.5" customHeight="1" x14ac:dyDescent="0.3">
      <c r="A305" s="1"/>
      <c r="B305" s="51"/>
      <c r="C305" s="51"/>
      <c r="D305" s="51"/>
      <c r="E305" s="51"/>
      <c r="F305" s="51"/>
      <c r="G305" s="58"/>
      <c r="H305" s="51"/>
      <c r="I305" s="57"/>
      <c r="J305" s="57"/>
      <c r="K305" s="57"/>
      <c r="L305" s="57"/>
      <c r="M305" s="51"/>
      <c r="N305" s="51"/>
      <c r="O305" s="51"/>
      <c r="P305" s="51"/>
      <c r="Q305" s="51"/>
      <c r="R305" s="51"/>
      <c r="S305" s="51"/>
      <c r="T305" s="51"/>
      <c r="U305" s="51"/>
      <c r="V305" s="51"/>
      <c r="W305" s="2"/>
      <c r="X305" s="1"/>
      <c r="Y305" s="1"/>
      <c r="Z305" s="1"/>
      <c r="AA305" s="1"/>
      <c r="AB305" s="1"/>
      <c r="AC305" s="1"/>
      <c r="AD305" s="1"/>
      <c r="AE305" s="1"/>
      <c r="AF305" s="1"/>
      <c r="AG305" s="3"/>
    </row>
    <row r="306" spans="1:33" ht="13.5" customHeight="1" x14ac:dyDescent="0.3">
      <c r="A306" s="1"/>
      <c r="B306" s="51"/>
      <c r="C306" s="51"/>
      <c r="D306" s="51"/>
      <c r="E306" s="51"/>
      <c r="F306" s="51"/>
      <c r="G306" s="58"/>
      <c r="H306" s="51"/>
      <c r="I306" s="57"/>
      <c r="J306" s="57"/>
      <c r="K306" s="57"/>
      <c r="L306" s="57"/>
      <c r="M306" s="51"/>
      <c r="N306" s="51"/>
      <c r="O306" s="51"/>
      <c r="P306" s="51"/>
      <c r="Q306" s="51"/>
      <c r="R306" s="51"/>
      <c r="S306" s="51"/>
      <c r="T306" s="51"/>
      <c r="U306" s="51"/>
      <c r="V306" s="51"/>
      <c r="W306" s="2"/>
      <c r="X306" s="1"/>
      <c r="Y306" s="1"/>
      <c r="Z306" s="1"/>
      <c r="AA306" s="1"/>
      <c r="AB306" s="1"/>
      <c r="AC306" s="1"/>
      <c r="AD306" s="1"/>
      <c r="AE306" s="1"/>
      <c r="AF306" s="1"/>
      <c r="AG306" s="3"/>
    </row>
    <row r="307" spans="1:33" ht="13.5" customHeight="1" x14ac:dyDescent="0.3">
      <c r="A307" s="1"/>
      <c r="B307" s="51"/>
      <c r="C307" s="51"/>
      <c r="D307" s="51"/>
      <c r="E307" s="51"/>
      <c r="F307" s="51"/>
      <c r="G307" s="58"/>
      <c r="H307" s="51"/>
      <c r="I307" s="57"/>
      <c r="J307" s="57"/>
      <c r="K307" s="57"/>
      <c r="L307" s="57"/>
      <c r="M307" s="51"/>
      <c r="N307" s="51"/>
      <c r="O307" s="51"/>
      <c r="P307" s="51"/>
      <c r="Q307" s="51"/>
      <c r="R307" s="51"/>
      <c r="S307" s="51"/>
      <c r="T307" s="51"/>
      <c r="U307" s="51"/>
      <c r="V307" s="51"/>
      <c r="W307" s="2"/>
      <c r="X307" s="1"/>
      <c r="Y307" s="1"/>
      <c r="Z307" s="1"/>
      <c r="AA307" s="1"/>
      <c r="AB307" s="1"/>
      <c r="AC307" s="1"/>
      <c r="AD307" s="1"/>
      <c r="AE307" s="1"/>
      <c r="AF307" s="1"/>
      <c r="AG307" s="3"/>
    </row>
    <row r="308" spans="1:33" ht="13.5" customHeight="1" x14ac:dyDescent="0.3">
      <c r="A308" s="1"/>
      <c r="B308" s="51"/>
      <c r="C308" s="51"/>
      <c r="D308" s="51"/>
      <c r="E308" s="51"/>
      <c r="F308" s="51"/>
      <c r="G308" s="58"/>
      <c r="H308" s="51"/>
      <c r="I308" s="57"/>
      <c r="J308" s="57"/>
      <c r="K308" s="57"/>
      <c r="L308" s="57"/>
      <c r="M308" s="51"/>
      <c r="N308" s="51"/>
      <c r="O308" s="51"/>
      <c r="P308" s="51"/>
      <c r="Q308" s="51"/>
      <c r="R308" s="51"/>
      <c r="S308" s="51"/>
      <c r="T308" s="51"/>
      <c r="U308" s="51"/>
      <c r="V308" s="51"/>
      <c r="W308" s="2"/>
      <c r="X308" s="1"/>
      <c r="Y308" s="1"/>
      <c r="Z308" s="1"/>
      <c r="AA308" s="1"/>
      <c r="AB308" s="1"/>
      <c r="AC308" s="1"/>
      <c r="AD308" s="1"/>
      <c r="AE308" s="1"/>
      <c r="AF308" s="1"/>
      <c r="AG308" s="3"/>
    </row>
    <row r="309" spans="1:33" ht="13.5" customHeight="1" x14ac:dyDescent="0.3">
      <c r="A309" s="1"/>
      <c r="B309" s="51"/>
      <c r="C309" s="51"/>
      <c r="D309" s="51"/>
      <c r="E309" s="51"/>
      <c r="F309" s="51"/>
      <c r="G309" s="58"/>
      <c r="H309" s="51"/>
      <c r="I309" s="57"/>
      <c r="J309" s="57"/>
      <c r="K309" s="57"/>
      <c r="L309" s="57"/>
      <c r="M309" s="51"/>
      <c r="N309" s="51"/>
      <c r="O309" s="51"/>
      <c r="P309" s="51"/>
      <c r="Q309" s="51"/>
      <c r="R309" s="51"/>
      <c r="S309" s="51"/>
      <c r="T309" s="51"/>
      <c r="U309" s="51"/>
      <c r="V309" s="51"/>
      <c r="W309" s="2"/>
      <c r="X309" s="1"/>
      <c r="Y309" s="1"/>
      <c r="Z309" s="1"/>
      <c r="AA309" s="1"/>
      <c r="AB309" s="1"/>
      <c r="AC309" s="1"/>
      <c r="AD309" s="1"/>
      <c r="AE309" s="1"/>
      <c r="AF309" s="1"/>
      <c r="AG309" s="3"/>
    </row>
    <row r="310" spans="1:33" ht="13.5" customHeight="1" x14ac:dyDescent="0.3">
      <c r="A310" s="1"/>
      <c r="B310" s="51"/>
      <c r="C310" s="51"/>
      <c r="D310" s="51"/>
      <c r="E310" s="51"/>
      <c r="F310" s="51"/>
      <c r="G310" s="58"/>
      <c r="H310" s="51"/>
      <c r="I310" s="57"/>
      <c r="J310" s="57"/>
      <c r="K310" s="57"/>
      <c r="L310" s="57"/>
      <c r="M310" s="51"/>
      <c r="N310" s="51"/>
      <c r="O310" s="51"/>
      <c r="P310" s="51"/>
      <c r="Q310" s="51"/>
      <c r="R310" s="51"/>
      <c r="S310" s="51"/>
      <c r="T310" s="51"/>
      <c r="U310" s="51"/>
      <c r="V310" s="51"/>
      <c r="W310" s="2"/>
      <c r="X310" s="1"/>
      <c r="Y310" s="1"/>
      <c r="Z310" s="1"/>
      <c r="AA310" s="1"/>
      <c r="AB310" s="1"/>
      <c r="AC310" s="1"/>
      <c r="AD310" s="1"/>
      <c r="AE310" s="1"/>
      <c r="AF310" s="1"/>
      <c r="AG310" s="3"/>
    </row>
    <row r="311" spans="1:33" ht="13.5" customHeight="1" x14ac:dyDescent="0.3">
      <c r="A311" s="1"/>
      <c r="B311" s="51"/>
      <c r="C311" s="51"/>
      <c r="D311" s="51"/>
      <c r="E311" s="51"/>
      <c r="F311" s="51"/>
      <c r="G311" s="58"/>
      <c r="H311" s="51"/>
      <c r="I311" s="57"/>
      <c r="J311" s="57"/>
      <c r="K311" s="57"/>
      <c r="L311" s="57"/>
      <c r="M311" s="51"/>
      <c r="N311" s="51"/>
      <c r="O311" s="51"/>
      <c r="P311" s="51"/>
      <c r="Q311" s="51"/>
      <c r="R311" s="51"/>
      <c r="S311" s="51"/>
      <c r="T311" s="51"/>
      <c r="U311" s="51"/>
      <c r="V311" s="51"/>
      <c r="W311" s="2"/>
      <c r="X311" s="1"/>
      <c r="Y311" s="1"/>
      <c r="Z311" s="1"/>
      <c r="AA311" s="1"/>
      <c r="AB311" s="1"/>
      <c r="AC311" s="1"/>
      <c r="AD311" s="1"/>
      <c r="AE311" s="1"/>
      <c r="AF311" s="1"/>
      <c r="AG311" s="3"/>
    </row>
    <row r="312" spans="1:33" ht="13.5" customHeight="1" x14ac:dyDescent="0.3">
      <c r="A312" s="1"/>
      <c r="B312" s="51"/>
      <c r="C312" s="51"/>
      <c r="D312" s="51"/>
      <c r="E312" s="51"/>
      <c r="F312" s="51"/>
      <c r="G312" s="58"/>
      <c r="H312" s="51"/>
      <c r="I312" s="57"/>
      <c r="J312" s="57"/>
      <c r="K312" s="57"/>
      <c r="L312" s="57"/>
      <c r="M312" s="51"/>
      <c r="N312" s="51"/>
      <c r="O312" s="51"/>
      <c r="P312" s="51"/>
      <c r="Q312" s="51"/>
      <c r="R312" s="51"/>
      <c r="S312" s="51"/>
      <c r="T312" s="51"/>
      <c r="U312" s="51"/>
      <c r="V312" s="51"/>
      <c r="W312" s="2"/>
      <c r="X312" s="1"/>
      <c r="Y312" s="1"/>
      <c r="Z312" s="1"/>
      <c r="AA312" s="1"/>
      <c r="AB312" s="1"/>
      <c r="AC312" s="1"/>
      <c r="AD312" s="1"/>
      <c r="AE312" s="1"/>
      <c r="AF312" s="1"/>
      <c r="AG312" s="3"/>
    </row>
    <row r="313" spans="1:33" ht="13.5" customHeight="1" x14ac:dyDescent="0.3">
      <c r="A313" s="1"/>
      <c r="B313" s="51"/>
      <c r="C313" s="51"/>
      <c r="D313" s="51"/>
      <c r="E313" s="51"/>
      <c r="F313" s="51"/>
      <c r="G313" s="58"/>
      <c r="H313" s="51"/>
      <c r="I313" s="57"/>
      <c r="J313" s="57"/>
      <c r="K313" s="57"/>
      <c r="L313" s="57"/>
      <c r="M313" s="51"/>
      <c r="N313" s="51"/>
      <c r="O313" s="51"/>
      <c r="P313" s="51"/>
      <c r="Q313" s="51"/>
      <c r="R313" s="51"/>
      <c r="S313" s="51"/>
      <c r="T313" s="51"/>
      <c r="U313" s="51"/>
      <c r="V313" s="51"/>
      <c r="W313" s="2"/>
      <c r="X313" s="1"/>
      <c r="Y313" s="1"/>
      <c r="Z313" s="1"/>
      <c r="AA313" s="1"/>
      <c r="AB313" s="1"/>
      <c r="AC313" s="1"/>
      <c r="AD313" s="1"/>
      <c r="AE313" s="1"/>
      <c r="AF313" s="1"/>
      <c r="AG313" s="3"/>
    </row>
    <row r="314" spans="1:33" ht="13.5" customHeight="1" x14ac:dyDescent="0.3">
      <c r="A314" s="1"/>
      <c r="B314" s="51"/>
      <c r="C314" s="51"/>
      <c r="D314" s="51"/>
      <c r="E314" s="51"/>
      <c r="F314" s="51"/>
      <c r="G314" s="58"/>
      <c r="H314" s="51"/>
      <c r="I314" s="57"/>
      <c r="J314" s="57"/>
      <c r="K314" s="57"/>
      <c r="L314" s="57"/>
      <c r="M314" s="51"/>
      <c r="N314" s="51"/>
      <c r="O314" s="51"/>
      <c r="P314" s="51"/>
      <c r="Q314" s="51"/>
      <c r="R314" s="51"/>
      <c r="S314" s="51"/>
      <c r="T314" s="51"/>
      <c r="U314" s="51"/>
      <c r="V314" s="51"/>
      <c r="W314" s="2"/>
      <c r="X314" s="1"/>
      <c r="Y314" s="1"/>
      <c r="Z314" s="1"/>
      <c r="AA314" s="1"/>
      <c r="AB314" s="1"/>
      <c r="AC314" s="1"/>
      <c r="AD314" s="1"/>
      <c r="AE314" s="1"/>
      <c r="AF314" s="1"/>
      <c r="AG314" s="3"/>
    </row>
    <row r="315" spans="1:33" ht="13.5" customHeight="1" x14ac:dyDescent="0.3">
      <c r="A315" s="1"/>
      <c r="B315" s="51"/>
      <c r="C315" s="51"/>
      <c r="D315" s="51"/>
      <c r="E315" s="51"/>
      <c r="F315" s="51"/>
      <c r="G315" s="58"/>
      <c r="H315" s="51"/>
      <c r="I315" s="57"/>
      <c r="J315" s="57"/>
      <c r="K315" s="57"/>
      <c r="L315" s="57"/>
      <c r="M315" s="51"/>
      <c r="N315" s="51"/>
      <c r="O315" s="51"/>
      <c r="P315" s="51"/>
      <c r="Q315" s="51"/>
      <c r="R315" s="51"/>
      <c r="S315" s="51"/>
      <c r="T315" s="51"/>
      <c r="U315" s="51"/>
      <c r="V315" s="51"/>
      <c r="W315" s="2"/>
      <c r="X315" s="1"/>
      <c r="Y315" s="1"/>
      <c r="Z315" s="1"/>
      <c r="AA315" s="1"/>
      <c r="AB315" s="1"/>
      <c r="AC315" s="1"/>
      <c r="AD315" s="1"/>
      <c r="AE315" s="1"/>
      <c r="AF315" s="1"/>
      <c r="AG315" s="3"/>
    </row>
    <row r="316" spans="1:33" ht="13.5" customHeight="1" x14ac:dyDescent="0.3">
      <c r="A316" s="1"/>
      <c r="B316" s="51"/>
      <c r="C316" s="51"/>
      <c r="D316" s="51"/>
      <c r="E316" s="51"/>
      <c r="F316" s="51"/>
      <c r="G316" s="58"/>
      <c r="H316" s="51"/>
      <c r="I316" s="57"/>
      <c r="J316" s="57"/>
      <c r="K316" s="57"/>
      <c r="L316" s="57"/>
      <c r="M316" s="51"/>
      <c r="N316" s="51"/>
      <c r="O316" s="51"/>
      <c r="P316" s="51"/>
      <c r="Q316" s="51"/>
      <c r="R316" s="51"/>
      <c r="S316" s="51"/>
      <c r="T316" s="51"/>
      <c r="U316" s="51"/>
      <c r="V316" s="51"/>
      <c r="W316" s="2"/>
      <c r="X316" s="1"/>
      <c r="Y316" s="1"/>
      <c r="Z316" s="1"/>
      <c r="AA316" s="1"/>
      <c r="AB316" s="1"/>
      <c r="AC316" s="1"/>
      <c r="AD316" s="1"/>
      <c r="AE316" s="1"/>
      <c r="AF316" s="1"/>
      <c r="AG316" s="3"/>
    </row>
    <row r="317" spans="1:33" ht="13.5" customHeight="1" x14ac:dyDescent="0.3">
      <c r="A317" s="1"/>
      <c r="B317" s="51"/>
      <c r="C317" s="51"/>
      <c r="D317" s="51"/>
      <c r="E317" s="51"/>
      <c r="F317" s="51"/>
      <c r="G317" s="58"/>
      <c r="H317" s="51"/>
      <c r="I317" s="57"/>
      <c r="J317" s="57"/>
      <c r="K317" s="57"/>
      <c r="L317" s="57"/>
      <c r="M317" s="51"/>
      <c r="N317" s="51"/>
      <c r="O317" s="51"/>
      <c r="P317" s="51"/>
      <c r="Q317" s="51"/>
      <c r="R317" s="51"/>
      <c r="S317" s="51"/>
      <c r="T317" s="51"/>
      <c r="U317" s="51"/>
      <c r="V317" s="51"/>
      <c r="W317" s="2"/>
      <c r="X317" s="1"/>
      <c r="Y317" s="1"/>
      <c r="Z317" s="1"/>
      <c r="AA317" s="1"/>
      <c r="AB317" s="1"/>
      <c r="AC317" s="1"/>
      <c r="AD317" s="1"/>
      <c r="AE317" s="1"/>
      <c r="AF317" s="1"/>
      <c r="AG317" s="3"/>
    </row>
    <row r="318" spans="1:33" ht="13.5" customHeight="1" x14ac:dyDescent="0.3">
      <c r="A318" s="1"/>
      <c r="B318" s="51"/>
      <c r="C318" s="51"/>
      <c r="D318" s="51"/>
      <c r="E318" s="51"/>
      <c r="F318" s="51"/>
      <c r="G318" s="58"/>
      <c r="H318" s="51"/>
      <c r="I318" s="57"/>
      <c r="J318" s="57"/>
      <c r="K318" s="57"/>
      <c r="L318" s="57"/>
      <c r="M318" s="51"/>
      <c r="N318" s="51"/>
      <c r="O318" s="51"/>
      <c r="P318" s="51"/>
      <c r="Q318" s="51"/>
      <c r="R318" s="51"/>
      <c r="S318" s="51"/>
      <c r="T318" s="51"/>
      <c r="U318" s="51"/>
      <c r="V318" s="51"/>
      <c r="W318" s="2"/>
      <c r="X318" s="1"/>
      <c r="Y318" s="1"/>
      <c r="Z318" s="1"/>
      <c r="AA318" s="1"/>
      <c r="AB318" s="1"/>
      <c r="AC318" s="1"/>
      <c r="AD318" s="1"/>
      <c r="AE318" s="1"/>
      <c r="AF318" s="1"/>
      <c r="AG318" s="3"/>
    </row>
    <row r="319" spans="1:33" ht="13.5" customHeight="1" x14ac:dyDescent="0.3">
      <c r="A319" s="1"/>
      <c r="B319" s="51"/>
      <c r="C319" s="51"/>
      <c r="D319" s="51"/>
      <c r="E319" s="51"/>
      <c r="F319" s="51"/>
      <c r="G319" s="58"/>
      <c r="H319" s="51"/>
      <c r="I319" s="57"/>
      <c r="J319" s="57"/>
      <c r="K319" s="57"/>
      <c r="L319" s="57"/>
      <c r="M319" s="51"/>
      <c r="N319" s="51"/>
      <c r="O319" s="51"/>
      <c r="P319" s="51"/>
      <c r="Q319" s="51"/>
      <c r="R319" s="51"/>
      <c r="S319" s="51"/>
      <c r="T319" s="51"/>
      <c r="U319" s="51"/>
      <c r="V319" s="51"/>
      <c r="W319" s="2"/>
      <c r="X319" s="1"/>
      <c r="Y319" s="1"/>
      <c r="Z319" s="1"/>
      <c r="AA319" s="1"/>
      <c r="AB319" s="1"/>
      <c r="AC319" s="1"/>
      <c r="AD319" s="1"/>
      <c r="AE319" s="1"/>
      <c r="AF319" s="1"/>
      <c r="AG319" s="3"/>
    </row>
    <row r="320" spans="1:33" ht="13.5" customHeight="1" x14ac:dyDescent="0.3">
      <c r="A320" s="1"/>
      <c r="B320" s="51"/>
      <c r="C320" s="51"/>
      <c r="D320" s="51"/>
      <c r="E320" s="51"/>
      <c r="F320" s="51"/>
      <c r="G320" s="58"/>
      <c r="H320" s="51"/>
      <c r="I320" s="57"/>
      <c r="J320" s="57"/>
      <c r="K320" s="57"/>
      <c r="L320" s="57"/>
      <c r="M320" s="51"/>
      <c r="N320" s="51"/>
      <c r="O320" s="51"/>
      <c r="P320" s="51"/>
      <c r="Q320" s="51"/>
      <c r="R320" s="51"/>
      <c r="S320" s="51"/>
      <c r="T320" s="51"/>
      <c r="U320" s="51"/>
      <c r="V320" s="51"/>
      <c r="W320" s="2"/>
      <c r="X320" s="1"/>
      <c r="Y320" s="1"/>
      <c r="Z320" s="1"/>
      <c r="AA320" s="1"/>
      <c r="AB320" s="1"/>
      <c r="AC320" s="1"/>
      <c r="AD320" s="1"/>
      <c r="AE320" s="1"/>
      <c r="AF320" s="1"/>
      <c r="AG320" s="3"/>
    </row>
    <row r="321" spans="1:33" ht="13.5" customHeight="1" x14ac:dyDescent="0.3">
      <c r="A321" s="1"/>
      <c r="B321" s="51"/>
      <c r="C321" s="51"/>
      <c r="D321" s="51"/>
      <c r="E321" s="51"/>
      <c r="F321" s="51"/>
      <c r="G321" s="58"/>
      <c r="H321" s="51"/>
      <c r="I321" s="57"/>
      <c r="J321" s="57"/>
      <c r="K321" s="57"/>
      <c r="L321" s="57"/>
      <c r="M321" s="51"/>
      <c r="N321" s="51"/>
      <c r="O321" s="51"/>
      <c r="P321" s="51"/>
      <c r="Q321" s="51"/>
      <c r="R321" s="51"/>
      <c r="S321" s="51"/>
      <c r="T321" s="51"/>
      <c r="U321" s="51"/>
      <c r="V321" s="51"/>
      <c r="W321" s="2"/>
      <c r="X321" s="1"/>
      <c r="Y321" s="1"/>
      <c r="Z321" s="1"/>
      <c r="AA321" s="1"/>
      <c r="AB321" s="1"/>
      <c r="AC321" s="1"/>
      <c r="AD321" s="1"/>
      <c r="AE321" s="1"/>
      <c r="AF321" s="1"/>
      <c r="AG321" s="3"/>
    </row>
    <row r="322" spans="1:33" ht="13.5" customHeight="1" x14ac:dyDescent="0.3">
      <c r="A322" s="1"/>
      <c r="B322" s="51"/>
      <c r="C322" s="51"/>
      <c r="D322" s="51"/>
      <c r="E322" s="51"/>
      <c r="F322" s="51"/>
      <c r="G322" s="58"/>
      <c r="H322" s="51"/>
      <c r="I322" s="57"/>
      <c r="J322" s="57"/>
      <c r="K322" s="57"/>
      <c r="L322" s="57"/>
      <c r="M322" s="51"/>
      <c r="N322" s="51"/>
      <c r="O322" s="51"/>
      <c r="P322" s="51"/>
      <c r="Q322" s="51"/>
      <c r="R322" s="51"/>
      <c r="S322" s="51"/>
      <c r="T322" s="51"/>
      <c r="U322" s="51"/>
      <c r="V322" s="51"/>
      <c r="W322" s="2"/>
      <c r="X322" s="1"/>
      <c r="Y322" s="1"/>
      <c r="Z322" s="1"/>
      <c r="AA322" s="1"/>
      <c r="AB322" s="1"/>
      <c r="AC322" s="1"/>
      <c r="AD322" s="1"/>
      <c r="AE322" s="1"/>
      <c r="AF322" s="1"/>
      <c r="AG322" s="3"/>
    </row>
    <row r="323" spans="1:33" ht="13.5" customHeight="1" x14ac:dyDescent="0.3">
      <c r="A323" s="1"/>
      <c r="B323" s="51"/>
      <c r="C323" s="51"/>
      <c r="D323" s="51"/>
      <c r="E323" s="51"/>
      <c r="F323" s="51"/>
      <c r="G323" s="58"/>
      <c r="H323" s="51"/>
      <c r="I323" s="57"/>
      <c r="J323" s="57"/>
      <c r="K323" s="57"/>
      <c r="L323" s="57"/>
      <c r="M323" s="51"/>
      <c r="N323" s="51"/>
      <c r="O323" s="51"/>
      <c r="P323" s="51"/>
      <c r="Q323" s="51"/>
      <c r="R323" s="51"/>
      <c r="S323" s="51"/>
      <c r="T323" s="51"/>
      <c r="U323" s="51"/>
      <c r="V323" s="51"/>
      <c r="W323" s="2"/>
      <c r="X323" s="1"/>
      <c r="Y323" s="1"/>
      <c r="Z323" s="1"/>
      <c r="AA323" s="1"/>
      <c r="AB323" s="1"/>
      <c r="AC323" s="1"/>
      <c r="AD323" s="1"/>
      <c r="AE323" s="1"/>
      <c r="AF323" s="1"/>
      <c r="AG323" s="3"/>
    </row>
    <row r="324" spans="1:33" ht="13.5" customHeight="1" x14ac:dyDescent="0.3">
      <c r="A324" s="1"/>
      <c r="B324" s="51"/>
      <c r="C324" s="51"/>
      <c r="D324" s="51"/>
      <c r="E324" s="51"/>
      <c r="F324" s="51"/>
      <c r="G324" s="58"/>
      <c r="H324" s="51"/>
      <c r="I324" s="57"/>
      <c r="J324" s="57"/>
      <c r="K324" s="57"/>
      <c r="L324" s="57"/>
      <c r="M324" s="51"/>
      <c r="N324" s="51"/>
      <c r="O324" s="51"/>
      <c r="P324" s="51"/>
      <c r="Q324" s="51"/>
      <c r="R324" s="51"/>
      <c r="S324" s="51"/>
      <c r="T324" s="51"/>
      <c r="U324" s="51"/>
      <c r="V324" s="51"/>
      <c r="W324" s="2"/>
      <c r="X324" s="1"/>
      <c r="Y324" s="1"/>
      <c r="Z324" s="1"/>
      <c r="AA324" s="1"/>
      <c r="AB324" s="1"/>
      <c r="AC324" s="1"/>
      <c r="AD324" s="1"/>
      <c r="AE324" s="1"/>
      <c r="AF324" s="1"/>
      <c r="AG324" s="3"/>
    </row>
    <row r="325" spans="1:33" ht="13.5" customHeight="1" x14ac:dyDescent="0.3">
      <c r="A325" s="1"/>
      <c r="B325" s="51"/>
      <c r="C325" s="51"/>
      <c r="D325" s="51"/>
      <c r="E325" s="51"/>
      <c r="F325" s="51"/>
      <c r="G325" s="58"/>
      <c r="H325" s="51"/>
      <c r="I325" s="57"/>
      <c r="J325" s="57"/>
      <c r="K325" s="57"/>
      <c r="L325" s="57"/>
      <c r="M325" s="51"/>
      <c r="N325" s="51"/>
      <c r="O325" s="51"/>
      <c r="P325" s="51"/>
      <c r="Q325" s="51"/>
      <c r="R325" s="51"/>
      <c r="S325" s="51"/>
      <c r="T325" s="51"/>
      <c r="U325" s="51"/>
      <c r="V325" s="51"/>
      <c r="W325" s="2"/>
      <c r="X325" s="1"/>
      <c r="Y325" s="1"/>
      <c r="Z325" s="1"/>
      <c r="AA325" s="1"/>
      <c r="AB325" s="1"/>
      <c r="AC325" s="1"/>
      <c r="AD325" s="1"/>
      <c r="AE325" s="1"/>
      <c r="AF325" s="1"/>
      <c r="AG325" s="3"/>
    </row>
    <row r="326" spans="1:33" ht="13.5" customHeight="1" x14ac:dyDescent="0.3">
      <c r="A326" s="1"/>
      <c r="B326" s="51"/>
      <c r="C326" s="51"/>
      <c r="D326" s="51"/>
      <c r="E326" s="51"/>
      <c r="F326" s="51"/>
      <c r="G326" s="58"/>
      <c r="H326" s="51"/>
      <c r="I326" s="57"/>
      <c r="J326" s="57"/>
      <c r="K326" s="57"/>
      <c r="L326" s="57"/>
      <c r="M326" s="51"/>
      <c r="N326" s="51"/>
      <c r="O326" s="51"/>
      <c r="P326" s="51"/>
      <c r="Q326" s="51"/>
      <c r="R326" s="51"/>
      <c r="S326" s="51"/>
      <c r="T326" s="51"/>
      <c r="U326" s="51"/>
      <c r="V326" s="51"/>
      <c r="W326" s="2"/>
      <c r="X326" s="1"/>
      <c r="Y326" s="1"/>
      <c r="Z326" s="1"/>
      <c r="AA326" s="1"/>
      <c r="AB326" s="1"/>
      <c r="AC326" s="1"/>
      <c r="AD326" s="1"/>
      <c r="AE326" s="1"/>
      <c r="AF326" s="1"/>
      <c r="AG326" s="3"/>
    </row>
    <row r="327" spans="1:33" ht="13.5" customHeight="1" x14ac:dyDescent="0.3">
      <c r="A327" s="1"/>
      <c r="B327" s="51"/>
      <c r="C327" s="51"/>
      <c r="D327" s="51"/>
      <c r="E327" s="51"/>
      <c r="F327" s="51"/>
      <c r="G327" s="58"/>
      <c r="H327" s="51"/>
      <c r="I327" s="57"/>
      <c r="J327" s="57"/>
      <c r="K327" s="57"/>
      <c r="L327" s="57"/>
      <c r="M327" s="51"/>
      <c r="N327" s="51"/>
      <c r="O327" s="51"/>
      <c r="P327" s="51"/>
      <c r="Q327" s="51"/>
      <c r="R327" s="51"/>
      <c r="S327" s="51"/>
      <c r="T327" s="51"/>
      <c r="U327" s="51"/>
      <c r="V327" s="51"/>
      <c r="W327" s="2"/>
      <c r="X327" s="1"/>
      <c r="Y327" s="1"/>
      <c r="Z327" s="1"/>
      <c r="AA327" s="1"/>
      <c r="AB327" s="1"/>
      <c r="AC327" s="1"/>
      <c r="AD327" s="1"/>
      <c r="AE327" s="1"/>
      <c r="AF327" s="1"/>
      <c r="AG327" s="3"/>
    </row>
    <row r="328" spans="1:33" ht="13.5" customHeight="1" x14ac:dyDescent="0.3">
      <c r="A328" s="1"/>
      <c r="B328" s="51"/>
      <c r="C328" s="51"/>
      <c r="D328" s="51"/>
      <c r="E328" s="51"/>
      <c r="F328" s="51"/>
      <c r="G328" s="58"/>
      <c r="H328" s="51"/>
      <c r="I328" s="57"/>
      <c r="J328" s="57"/>
      <c r="K328" s="57"/>
      <c r="L328" s="57"/>
      <c r="M328" s="51"/>
      <c r="N328" s="51"/>
      <c r="O328" s="51"/>
      <c r="P328" s="51"/>
      <c r="Q328" s="51"/>
      <c r="R328" s="51"/>
      <c r="S328" s="51"/>
      <c r="T328" s="51"/>
      <c r="U328" s="51"/>
      <c r="V328" s="51"/>
      <c r="W328" s="2"/>
      <c r="X328" s="1"/>
      <c r="Y328" s="1"/>
      <c r="Z328" s="1"/>
      <c r="AA328" s="1"/>
      <c r="AB328" s="1"/>
      <c r="AC328" s="1"/>
      <c r="AD328" s="1"/>
      <c r="AE328" s="1"/>
      <c r="AF328" s="1"/>
      <c r="AG328" s="3"/>
    </row>
    <row r="329" spans="1:33" ht="13.5" customHeight="1" x14ac:dyDescent="0.3">
      <c r="A329" s="1"/>
      <c r="B329" s="51"/>
      <c r="C329" s="51"/>
      <c r="D329" s="51"/>
      <c r="E329" s="51"/>
      <c r="F329" s="51"/>
      <c r="G329" s="58"/>
      <c r="H329" s="51"/>
      <c r="I329" s="57"/>
      <c r="J329" s="57"/>
      <c r="K329" s="57"/>
      <c r="L329" s="57"/>
      <c r="M329" s="51"/>
      <c r="N329" s="51"/>
      <c r="O329" s="51"/>
      <c r="P329" s="51"/>
      <c r="Q329" s="51"/>
      <c r="R329" s="51"/>
      <c r="S329" s="51"/>
      <c r="T329" s="51"/>
      <c r="U329" s="51"/>
      <c r="V329" s="51"/>
      <c r="W329" s="2"/>
      <c r="X329" s="1"/>
      <c r="Y329" s="1"/>
      <c r="Z329" s="1"/>
      <c r="AA329" s="1"/>
      <c r="AB329" s="1"/>
      <c r="AC329" s="1"/>
      <c r="AD329" s="1"/>
      <c r="AE329" s="1"/>
      <c r="AF329" s="1"/>
      <c r="AG329" s="3"/>
    </row>
    <row r="330" spans="1:33" ht="13.5" customHeight="1" x14ac:dyDescent="0.3">
      <c r="A330" s="1"/>
      <c r="B330" s="51"/>
      <c r="C330" s="51"/>
      <c r="D330" s="51"/>
      <c r="E330" s="51"/>
      <c r="F330" s="51"/>
      <c r="G330" s="58"/>
      <c r="H330" s="51"/>
      <c r="I330" s="57"/>
      <c r="J330" s="57"/>
      <c r="K330" s="57"/>
      <c r="L330" s="57"/>
      <c r="M330" s="51"/>
      <c r="N330" s="51"/>
      <c r="O330" s="51"/>
      <c r="P330" s="51"/>
      <c r="Q330" s="51"/>
      <c r="R330" s="51"/>
      <c r="S330" s="51"/>
      <c r="T330" s="51"/>
      <c r="U330" s="51"/>
      <c r="V330" s="51"/>
      <c r="W330" s="2"/>
      <c r="X330" s="1"/>
      <c r="Y330" s="1"/>
      <c r="Z330" s="1"/>
      <c r="AA330" s="1"/>
      <c r="AB330" s="1"/>
      <c r="AC330" s="1"/>
      <c r="AD330" s="1"/>
      <c r="AE330" s="1"/>
      <c r="AF330" s="1"/>
      <c r="AG330" s="3"/>
    </row>
    <row r="331" spans="1:33" ht="13.5" customHeight="1" x14ac:dyDescent="0.3">
      <c r="A331" s="1"/>
      <c r="B331" s="51"/>
      <c r="C331" s="51"/>
      <c r="D331" s="51"/>
      <c r="E331" s="51"/>
      <c r="F331" s="51"/>
      <c r="G331" s="58"/>
      <c r="H331" s="51"/>
      <c r="I331" s="57"/>
      <c r="J331" s="57"/>
      <c r="K331" s="57"/>
      <c r="L331" s="57"/>
      <c r="M331" s="51"/>
      <c r="N331" s="51"/>
      <c r="O331" s="51"/>
      <c r="P331" s="51"/>
      <c r="Q331" s="51"/>
      <c r="R331" s="51"/>
      <c r="S331" s="51"/>
      <c r="T331" s="51"/>
      <c r="U331" s="51"/>
      <c r="V331" s="51"/>
      <c r="W331" s="2"/>
      <c r="X331" s="1"/>
      <c r="Y331" s="1"/>
      <c r="Z331" s="1"/>
      <c r="AA331" s="1"/>
      <c r="AB331" s="1"/>
      <c r="AC331" s="1"/>
      <c r="AD331" s="1"/>
      <c r="AE331" s="1"/>
      <c r="AF331" s="1"/>
      <c r="AG331" s="3"/>
    </row>
    <row r="332" spans="1:33" ht="13.5" customHeight="1" x14ac:dyDescent="0.3">
      <c r="A332" s="1"/>
      <c r="B332" s="51"/>
      <c r="C332" s="51"/>
      <c r="D332" s="51"/>
      <c r="E332" s="51"/>
      <c r="F332" s="51"/>
      <c r="G332" s="58"/>
      <c r="H332" s="51"/>
      <c r="I332" s="57"/>
      <c r="J332" s="57"/>
      <c r="K332" s="57"/>
      <c r="L332" s="57"/>
      <c r="M332" s="51"/>
      <c r="N332" s="51"/>
      <c r="O332" s="51"/>
      <c r="P332" s="51"/>
      <c r="Q332" s="51"/>
      <c r="R332" s="51"/>
      <c r="S332" s="51"/>
      <c r="T332" s="51"/>
      <c r="U332" s="51"/>
      <c r="V332" s="51"/>
      <c r="W332" s="2"/>
      <c r="X332" s="1"/>
      <c r="Y332" s="1"/>
      <c r="Z332" s="1"/>
      <c r="AA332" s="1"/>
      <c r="AB332" s="1"/>
      <c r="AC332" s="1"/>
      <c r="AD332" s="1"/>
      <c r="AE332" s="1"/>
      <c r="AF332" s="1"/>
      <c r="AG332" s="3"/>
    </row>
    <row r="333" spans="1:33" ht="13.5" customHeight="1" x14ac:dyDescent="0.3">
      <c r="A333" s="1"/>
      <c r="B333" s="51"/>
      <c r="C333" s="51"/>
      <c r="D333" s="51"/>
      <c r="E333" s="51"/>
      <c r="F333" s="51"/>
      <c r="G333" s="58"/>
      <c r="H333" s="51"/>
      <c r="I333" s="57"/>
      <c r="J333" s="57"/>
      <c r="K333" s="57"/>
      <c r="L333" s="57"/>
      <c r="M333" s="51"/>
      <c r="N333" s="51"/>
      <c r="O333" s="51"/>
      <c r="P333" s="51"/>
      <c r="Q333" s="51"/>
      <c r="R333" s="51"/>
      <c r="S333" s="51"/>
      <c r="T333" s="51"/>
      <c r="U333" s="51"/>
      <c r="V333" s="51"/>
      <c r="W333" s="2"/>
      <c r="X333" s="1"/>
      <c r="Y333" s="1"/>
      <c r="Z333" s="1"/>
      <c r="AA333" s="1"/>
      <c r="AB333" s="1"/>
      <c r="AC333" s="1"/>
      <c r="AD333" s="1"/>
      <c r="AE333" s="1"/>
      <c r="AF333" s="1"/>
      <c r="AG333" s="3"/>
    </row>
    <row r="334" spans="1:33" ht="13.5" customHeight="1" x14ac:dyDescent="0.3">
      <c r="A334" s="1"/>
      <c r="B334" s="51"/>
      <c r="C334" s="51"/>
      <c r="D334" s="51"/>
      <c r="E334" s="51"/>
      <c r="F334" s="51"/>
      <c r="G334" s="58"/>
      <c r="H334" s="51"/>
      <c r="I334" s="57"/>
      <c r="J334" s="57"/>
      <c r="K334" s="57"/>
      <c r="L334" s="57"/>
      <c r="M334" s="51"/>
      <c r="N334" s="51"/>
      <c r="O334" s="51"/>
      <c r="P334" s="51"/>
      <c r="Q334" s="51"/>
      <c r="R334" s="51"/>
      <c r="S334" s="51"/>
      <c r="T334" s="51"/>
      <c r="U334" s="51"/>
      <c r="V334" s="51"/>
      <c r="W334" s="2"/>
      <c r="X334" s="1"/>
      <c r="Y334" s="1"/>
      <c r="Z334" s="1"/>
      <c r="AA334" s="1"/>
      <c r="AB334" s="1"/>
      <c r="AC334" s="1"/>
      <c r="AD334" s="1"/>
      <c r="AE334" s="1"/>
      <c r="AF334" s="1"/>
      <c r="AG334" s="3"/>
    </row>
    <row r="335" spans="1:33" ht="13.5" customHeight="1" x14ac:dyDescent="0.3">
      <c r="A335" s="1"/>
      <c r="B335" s="51"/>
      <c r="C335" s="51"/>
      <c r="D335" s="51"/>
      <c r="E335" s="51"/>
      <c r="F335" s="51"/>
      <c r="G335" s="58"/>
      <c r="H335" s="51"/>
      <c r="I335" s="57"/>
      <c r="J335" s="57"/>
      <c r="K335" s="57"/>
      <c r="L335" s="57"/>
      <c r="M335" s="51"/>
      <c r="N335" s="51"/>
      <c r="O335" s="51"/>
      <c r="P335" s="51"/>
      <c r="Q335" s="51"/>
      <c r="R335" s="51"/>
      <c r="S335" s="51"/>
      <c r="T335" s="51"/>
      <c r="U335" s="51"/>
      <c r="V335" s="51"/>
      <c r="W335" s="2"/>
      <c r="X335" s="1"/>
      <c r="Y335" s="1"/>
      <c r="Z335" s="1"/>
      <c r="AA335" s="1"/>
      <c r="AB335" s="1"/>
      <c r="AC335" s="1"/>
      <c r="AD335" s="1"/>
      <c r="AE335" s="1"/>
      <c r="AF335" s="1"/>
      <c r="AG335" s="3"/>
    </row>
    <row r="336" spans="1:33" ht="13.5" customHeight="1" x14ac:dyDescent="0.3">
      <c r="A336" s="1"/>
      <c r="B336" s="51"/>
      <c r="C336" s="51"/>
      <c r="D336" s="51"/>
      <c r="E336" s="51"/>
      <c r="F336" s="51"/>
      <c r="G336" s="58"/>
      <c r="H336" s="51"/>
      <c r="I336" s="57"/>
      <c r="J336" s="57"/>
      <c r="K336" s="57"/>
      <c r="L336" s="57"/>
      <c r="M336" s="51"/>
      <c r="N336" s="51"/>
      <c r="O336" s="51"/>
      <c r="P336" s="51"/>
      <c r="Q336" s="51"/>
      <c r="R336" s="51"/>
      <c r="S336" s="51"/>
      <c r="T336" s="51"/>
      <c r="U336" s="51"/>
      <c r="V336" s="51"/>
      <c r="W336" s="2"/>
      <c r="X336" s="1"/>
      <c r="Y336" s="1"/>
      <c r="Z336" s="1"/>
      <c r="AA336" s="1"/>
      <c r="AB336" s="1"/>
      <c r="AC336" s="1"/>
      <c r="AD336" s="1"/>
      <c r="AE336" s="1"/>
      <c r="AF336" s="1"/>
      <c r="AG336" s="3"/>
    </row>
    <row r="337" spans="1:33" ht="13.5" customHeight="1" x14ac:dyDescent="0.3">
      <c r="A337" s="1"/>
      <c r="B337" s="51"/>
      <c r="C337" s="51"/>
      <c r="D337" s="51"/>
      <c r="E337" s="51"/>
      <c r="F337" s="51"/>
      <c r="G337" s="58"/>
      <c r="H337" s="51"/>
      <c r="I337" s="57"/>
      <c r="J337" s="57"/>
      <c r="K337" s="57"/>
      <c r="L337" s="57"/>
      <c r="M337" s="51"/>
      <c r="N337" s="51"/>
      <c r="O337" s="51"/>
      <c r="P337" s="51"/>
      <c r="Q337" s="51"/>
      <c r="R337" s="51"/>
      <c r="S337" s="51"/>
      <c r="T337" s="51"/>
      <c r="U337" s="51"/>
      <c r="V337" s="51"/>
      <c r="W337" s="2"/>
      <c r="X337" s="1"/>
      <c r="Y337" s="1"/>
      <c r="Z337" s="1"/>
      <c r="AA337" s="1"/>
      <c r="AB337" s="1"/>
      <c r="AC337" s="1"/>
      <c r="AD337" s="1"/>
      <c r="AE337" s="1"/>
      <c r="AF337" s="1"/>
      <c r="AG337" s="3"/>
    </row>
    <row r="338" spans="1:33" ht="13.5" customHeight="1" x14ac:dyDescent="0.3">
      <c r="A338" s="1"/>
      <c r="B338" s="51"/>
      <c r="C338" s="51"/>
      <c r="D338" s="51"/>
      <c r="E338" s="51"/>
      <c r="F338" s="51"/>
      <c r="G338" s="58"/>
      <c r="H338" s="51"/>
      <c r="I338" s="57"/>
      <c r="J338" s="57"/>
      <c r="K338" s="57"/>
      <c r="L338" s="57"/>
      <c r="M338" s="51"/>
      <c r="N338" s="51"/>
      <c r="O338" s="51"/>
      <c r="P338" s="51"/>
      <c r="Q338" s="51"/>
      <c r="R338" s="51"/>
      <c r="S338" s="51"/>
      <c r="T338" s="51"/>
      <c r="U338" s="51"/>
      <c r="V338" s="51"/>
      <c r="W338" s="2"/>
      <c r="X338" s="1"/>
      <c r="Y338" s="1"/>
      <c r="Z338" s="1"/>
      <c r="AA338" s="1"/>
      <c r="AB338" s="1"/>
      <c r="AC338" s="1"/>
      <c r="AD338" s="1"/>
      <c r="AE338" s="1"/>
      <c r="AF338" s="1"/>
      <c r="AG338" s="3"/>
    </row>
    <row r="339" spans="1:33" ht="13.5" customHeight="1" x14ac:dyDescent="0.3">
      <c r="A339" s="1"/>
      <c r="B339" s="51"/>
      <c r="C339" s="51"/>
      <c r="D339" s="51"/>
      <c r="E339" s="51"/>
      <c r="F339" s="51"/>
      <c r="G339" s="58"/>
      <c r="H339" s="51"/>
      <c r="I339" s="57"/>
      <c r="J339" s="57"/>
      <c r="K339" s="57"/>
      <c r="L339" s="57"/>
      <c r="M339" s="51"/>
      <c r="N339" s="51"/>
      <c r="O339" s="51"/>
      <c r="P339" s="51"/>
      <c r="Q339" s="51"/>
      <c r="R339" s="51"/>
      <c r="S339" s="51"/>
      <c r="T339" s="51"/>
      <c r="U339" s="51"/>
      <c r="V339" s="51"/>
      <c r="W339" s="2"/>
      <c r="X339" s="1"/>
      <c r="Y339" s="1"/>
      <c r="Z339" s="1"/>
      <c r="AA339" s="1"/>
      <c r="AB339" s="1"/>
      <c r="AC339" s="1"/>
      <c r="AD339" s="1"/>
      <c r="AE339" s="1"/>
      <c r="AF339" s="1"/>
      <c r="AG339" s="3"/>
    </row>
    <row r="340" spans="1:33" ht="13.5" customHeight="1" x14ac:dyDescent="0.3">
      <c r="A340" s="1"/>
      <c r="B340" s="51"/>
      <c r="C340" s="51"/>
      <c r="D340" s="51"/>
      <c r="E340" s="51"/>
      <c r="F340" s="51"/>
      <c r="G340" s="58"/>
      <c r="H340" s="51"/>
      <c r="I340" s="57"/>
      <c r="J340" s="57"/>
      <c r="K340" s="57"/>
      <c r="L340" s="57"/>
      <c r="M340" s="51"/>
      <c r="N340" s="51"/>
      <c r="O340" s="51"/>
      <c r="P340" s="51"/>
      <c r="Q340" s="51"/>
      <c r="R340" s="51"/>
      <c r="S340" s="51"/>
      <c r="T340" s="51"/>
      <c r="U340" s="51"/>
      <c r="V340" s="51"/>
      <c r="W340" s="2"/>
      <c r="X340" s="1"/>
      <c r="Y340" s="1"/>
      <c r="Z340" s="1"/>
      <c r="AA340" s="1"/>
      <c r="AB340" s="1"/>
      <c r="AC340" s="1"/>
      <c r="AD340" s="1"/>
      <c r="AE340" s="1"/>
      <c r="AF340" s="1"/>
      <c r="AG340" s="3"/>
    </row>
    <row r="341" spans="1:33" ht="13.5" customHeight="1" x14ac:dyDescent="0.3">
      <c r="A341" s="1"/>
      <c r="B341" s="51"/>
      <c r="C341" s="51"/>
      <c r="D341" s="51"/>
      <c r="E341" s="51"/>
      <c r="F341" s="51"/>
      <c r="G341" s="58"/>
      <c r="H341" s="51"/>
      <c r="I341" s="57"/>
      <c r="J341" s="57"/>
      <c r="K341" s="57"/>
      <c r="L341" s="57"/>
      <c r="M341" s="51"/>
      <c r="N341" s="51"/>
      <c r="O341" s="51"/>
      <c r="P341" s="51"/>
      <c r="Q341" s="51"/>
      <c r="R341" s="51"/>
      <c r="S341" s="51"/>
      <c r="T341" s="51"/>
      <c r="U341" s="51"/>
      <c r="V341" s="51"/>
      <c r="W341" s="2"/>
      <c r="X341" s="1"/>
      <c r="Y341" s="1"/>
      <c r="Z341" s="1"/>
      <c r="AA341" s="1"/>
      <c r="AB341" s="1"/>
      <c r="AC341" s="1"/>
      <c r="AD341" s="1"/>
      <c r="AE341" s="1"/>
      <c r="AF341" s="1"/>
      <c r="AG341" s="3"/>
    </row>
    <row r="342" spans="1:33" ht="13.5" customHeight="1" x14ac:dyDescent="0.3">
      <c r="A342" s="1"/>
      <c r="B342" s="51"/>
      <c r="C342" s="51"/>
      <c r="D342" s="51"/>
      <c r="E342" s="51"/>
      <c r="F342" s="51"/>
      <c r="G342" s="58"/>
      <c r="H342" s="51"/>
      <c r="I342" s="57"/>
      <c r="J342" s="57"/>
      <c r="K342" s="57"/>
      <c r="L342" s="57"/>
      <c r="M342" s="51"/>
      <c r="N342" s="51"/>
      <c r="O342" s="51"/>
      <c r="P342" s="51"/>
      <c r="Q342" s="51"/>
      <c r="R342" s="51"/>
      <c r="S342" s="51"/>
      <c r="T342" s="51"/>
      <c r="U342" s="51"/>
      <c r="V342" s="51"/>
      <c r="W342" s="2"/>
      <c r="X342" s="1"/>
      <c r="Y342" s="1"/>
      <c r="Z342" s="1"/>
      <c r="AA342" s="1"/>
      <c r="AB342" s="1"/>
      <c r="AC342" s="1"/>
      <c r="AD342" s="1"/>
      <c r="AE342" s="1"/>
      <c r="AF342" s="1"/>
      <c r="AG342" s="3"/>
    </row>
    <row r="343" spans="1:33" ht="13.5" customHeight="1" x14ac:dyDescent="0.3">
      <c r="A343" s="1"/>
      <c r="B343" s="51"/>
      <c r="C343" s="51"/>
      <c r="D343" s="51"/>
      <c r="E343" s="51"/>
      <c r="F343" s="51"/>
      <c r="G343" s="58"/>
      <c r="H343" s="51"/>
      <c r="I343" s="57"/>
      <c r="J343" s="57"/>
      <c r="K343" s="57"/>
      <c r="L343" s="57"/>
      <c r="M343" s="51"/>
      <c r="N343" s="51"/>
      <c r="O343" s="51"/>
      <c r="P343" s="51"/>
      <c r="Q343" s="51"/>
      <c r="R343" s="51"/>
      <c r="S343" s="51"/>
      <c r="T343" s="51"/>
      <c r="U343" s="51"/>
      <c r="V343" s="51"/>
      <c r="W343" s="2"/>
      <c r="X343" s="1"/>
      <c r="Y343" s="1"/>
      <c r="Z343" s="1"/>
      <c r="AA343" s="1"/>
      <c r="AB343" s="1"/>
      <c r="AC343" s="1"/>
      <c r="AD343" s="1"/>
      <c r="AE343" s="1"/>
      <c r="AF343" s="1"/>
      <c r="AG343" s="3"/>
    </row>
    <row r="344" spans="1:33" ht="13.5" customHeight="1" x14ac:dyDescent="0.3">
      <c r="A344" s="1"/>
      <c r="B344" s="51"/>
      <c r="C344" s="51"/>
      <c r="D344" s="51"/>
      <c r="E344" s="51"/>
      <c r="F344" s="51"/>
      <c r="G344" s="58"/>
      <c r="H344" s="51"/>
      <c r="I344" s="57"/>
      <c r="J344" s="57"/>
      <c r="K344" s="57"/>
      <c r="L344" s="57"/>
      <c r="M344" s="51"/>
      <c r="N344" s="51"/>
      <c r="O344" s="51"/>
      <c r="P344" s="51"/>
      <c r="Q344" s="51"/>
      <c r="R344" s="51"/>
      <c r="S344" s="51"/>
      <c r="T344" s="51"/>
      <c r="U344" s="51"/>
      <c r="V344" s="51"/>
      <c r="W344" s="2"/>
      <c r="X344" s="1"/>
      <c r="Y344" s="1"/>
      <c r="Z344" s="1"/>
      <c r="AA344" s="1"/>
      <c r="AB344" s="1"/>
      <c r="AC344" s="1"/>
      <c r="AD344" s="1"/>
      <c r="AE344" s="1"/>
      <c r="AF344" s="1"/>
      <c r="AG344" s="3"/>
    </row>
    <row r="345" spans="1:33" ht="13.5" customHeight="1" x14ac:dyDescent="0.3">
      <c r="A345" s="1"/>
      <c r="B345" s="51"/>
      <c r="C345" s="51"/>
      <c r="D345" s="51"/>
      <c r="E345" s="51"/>
      <c r="F345" s="51"/>
      <c r="G345" s="58"/>
      <c r="H345" s="51"/>
      <c r="I345" s="57"/>
      <c r="J345" s="57"/>
      <c r="K345" s="57"/>
      <c r="L345" s="57"/>
      <c r="M345" s="51"/>
      <c r="N345" s="51"/>
      <c r="O345" s="51"/>
      <c r="P345" s="51"/>
      <c r="Q345" s="51"/>
      <c r="R345" s="51"/>
      <c r="S345" s="51"/>
      <c r="T345" s="51"/>
      <c r="U345" s="51"/>
      <c r="V345" s="51"/>
      <c r="W345" s="2"/>
      <c r="X345" s="1"/>
      <c r="Y345" s="1"/>
      <c r="Z345" s="1"/>
      <c r="AA345" s="1"/>
      <c r="AB345" s="1"/>
      <c r="AC345" s="1"/>
      <c r="AD345" s="1"/>
      <c r="AE345" s="1"/>
      <c r="AF345" s="1"/>
      <c r="AG345" s="3"/>
    </row>
    <row r="346" spans="1:33" ht="13.5" customHeight="1" x14ac:dyDescent="0.3">
      <c r="A346" s="1"/>
      <c r="B346" s="51"/>
      <c r="C346" s="51"/>
      <c r="D346" s="51"/>
      <c r="E346" s="51"/>
      <c r="F346" s="51"/>
      <c r="G346" s="58"/>
      <c r="H346" s="51"/>
      <c r="I346" s="57"/>
      <c r="J346" s="57"/>
      <c r="K346" s="57"/>
      <c r="L346" s="57"/>
      <c r="M346" s="51"/>
      <c r="N346" s="51"/>
      <c r="O346" s="51"/>
      <c r="P346" s="51"/>
      <c r="Q346" s="51"/>
      <c r="R346" s="51"/>
      <c r="S346" s="51"/>
      <c r="T346" s="51"/>
      <c r="U346" s="51"/>
      <c r="V346" s="51"/>
      <c r="W346" s="2"/>
      <c r="X346" s="1"/>
      <c r="Y346" s="1"/>
      <c r="Z346" s="1"/>
      <c r="AA346" s="1"/>
      <c r="AB346" s="1"/>
      <c r="AC346" s="1"/>
      <c r="AD346" s="1"/>
      <c r="AE346" s="1"/>
      <c r="AF346" s="1"/>
      <c r="AG346" s="3"/>
    </row>
    <row r="347" spans="1:33" ht="13.5" customHeight="1" x14ac:dyDescent="0.3">
      <c r="A347" s="1"/>
      <c r="B347" s="51"/>
      <c r="C347" s="51"/>
      <c r="D347" s="51"/>
      <c r="E347" s="51"/>
      <c r="F347" s="51"/>
      <c r="G347" s="58"/>
      <c r="H347" s="51"/>
      <c r="I347" s="57"/>
      <c r="J347" s="57"/>
      <c r="K347" s="57"/>
      <c r="L347" s="57"/>
      <c r="M347" s="51"/>
      <c r="N347" s="51"/>
      <c r="O347" s="51"/>
      <c r="P347" s="51"/>
      <c r="Q347" s="51"/>
      <c r="R347" s="51"/>
      <c r="S347" s="51"/>
      <c r="T347" s="51"/>
      <c r="U347" s="51"/>
      <c r="V347" s="51"/>
      <c r="W347" s="2"/>
      <c r="X347" s="1"/>
      <c r="Y347" s="1"/>
      <c r="Z347" s="1"/>
      <c r="AA347" s="1"/>
      <c r="AB347" s="1"/>
      <c r="AC347" s="1"/>
      <c r="AD347" s="1"/>
      <c r="AE347" s="1"/>
      <c r="AF347" s="1"/>
      <c r="AG347" s="3"/>
    </row>
    <row r="348" spans="1:33" ht="13.5" customHeight="1" x14ac:dyDescent="0.3">
      <c r="A348" s="1"/>
      <c r="B348" s="51"/>
      <c r="C348" s="51"/>
      <c r="D348" s="51"/>
      <c r="E348" s="51"/>
      <c r="F348" s="51"/>
      <c r="G348" s="58"/>
      <c r="H348" s="51"/>
      <c r="I348" s="57"/>
      <c r="J348" s="57"/>
      <c r="K348" s="57"/>
      <c r="L348" s="57"/>
      <c r="M348" s="51"/>
      <c r="N348" s="51"/>
      <c r="O348" s="51"/>
      <c r="P348" s="51"/>
      <c r="Q348" s="51"/>
      <c r="R348" s="51"/>
      <c r="S348" s="51"/>
      <c r="T348" s="51"/>
      <c r="U348" s="51"/>
      <c r="V348" s="51"/>
      <c r="W348" s="2"/>
      <c r="X348" s="1"/>
      <c r="Y348" s="1"/>
      <c r="Z348" s="1"/>
      <c r="AA348" s="1"/>
      <c r="AB348" s="1"/>
      <c r="AC348" s="1"/>
      <c r="AD348" s="1"/>
      <c r="AE348" s="1"/>
      <c r="AF348" s="1"/>
      <c r="AG348" s="3"/>
    </row>
    <row r="349" spans="1:33" ht="13.5" customHeight="1" x14ac:dyDescent="0.3">
      <c r="A349" s="1"/>
      <c r="B349" s="51"/>
      <c r="C349" s="51"/>
      <c r="D349" s="51"/>
      <c r="E349" s="51"/>
      <c r="F349" s="51"/>
      <c r="G349" s="58"/>
      <c r="H349" s="51"/>
      <c r="I349" s="57"/>
      <c r="J349" s="57"/>
      <c r="K349" s="57"/>
      <c r="L349" s="57"/>
      <c r="M349" s="51"/>
      <c r="N349" s="51"/>
      <c r="O349" s="51"/>
      <c r="P349" s="51"/>
      <c r="Q349" s="51"/>
      <c r="R349" s="51"/>
      <c r="S349" s="51"/>
      <c r="T349" s="51"/>
      <c r="U349" s="51"/>
      <c r="V349" s="51"/>
      <c r="W349" s="2"/>
      <c r="X349" s="1"/>
      <c r="Y349" s="1"/>
      <c r="Z349" s="1"/>
      <c r="AA349" s="1"/>
      <c r="AB349" s="1"/>
      <c r="AC349" s="1"/>
      <c r="AD349" s="1"/>
      <c r="AE349" s="1"/>
      <c r="AF349" s="1"/>
      <c r="AG349" s="3"/>
    </row>
    <row r="350" spans="1:33" ht="13.5" customHeight="1" x14ac:dyDescent="0.3">
      <c r="A350" s="1"/>
      <c r="B350" s="51"/>
      <c r="C350" s="51"/>
      <c r="D350" s="51"/>
      <c r="E350" s="51"/>
      <c r="F350" s="51"/>
      <c r="G350" s="58"/>
      <c r="H350" s="51"/>
      <c r="I350" s="57"/>
      <c r="J350" s="57"/>
      <c r="K350" s="57"/>
      <c r="L350" s="57"/>
      <c r="M350" s="51"/>
      <c r="N350" s="51"/>
      <c r="O350" s="51"/>
      <c r="P350" s="51"/>
      <c r="Q350" s="51"/>
      <c r="R350" s="51"/>
      <c r="S350" s="51"/>
      <c r="T350" s="51"/>
      <c r="U350" s="51"/>
      <c r="V350" s="51"/>
      <c r="W350" s="2"/>
      <c r="X350" s="1"/>
      <c r="Y350" s="1"/>
      <c r="Z350" s="1"/>
      <c r="AA350" s="1"/>
      <c r="AB350" s="1"/>
      <c r="AC350" s="1"/>
      <c r="AD350" s="1"/>
      <c r="AE350" s="1"/>
      <c r="AF350" s="1"/>
      <c r="AG350" s="3"/>
    </row>
    <row r="351" spans="1:33" ht="15.75" customHeight="1" x14ac:dyDescent="0.3">
      <c r="A351" s="3"/>
      <c r="B351" s="59"/>
      <c r="C351" s="59"/>
      <c r="D351" s="59"/>
      <c r="E351" s="59"/>
      <c r="F351" s="59"/>
      <c r="G351" s="59"/>
      <c r="H351" s="59"/>
      <c r="I351" s="59"/>
      <c r="J351" s="59"/>
      <c r="K351" s="59"/>
      <c r="L351" s="59"/>
      <c r="M351" s="59"/>
      <c r="N351" s="59"/>
      <c r="O351" s="59"/>
      <c r="P351" s="59"/>
      <c r="Q351" s="59"/>
      <c r="R351" s="59"/>
      <c r="S351" s="59"/>
      <c r="T351" s="59"/>
      <c r="U351" s="59"/>
      <c r="V351" s="59"/>
      <c r="W351" s="56"/>
      <c r="X351" s="3"/>
      <c r="Y351" s="3"/>
      <c r="Z351" s="3"/>
      <c r="AA351" s="3"/>
      <c r="AB351" s="3"/>
      <c r="AC351" s="3"/>
      <c r="AD351" s="3"/>
      <c r="AE351" s="3"/>
      <c r="AF351" s="3"/>
      <c r="AG351" s="3"/>
    </row>
    <row r="352" spans="1:33"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row>
    <row r="353" spans="1:33"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row>
    <row r="354" spans="1:33" ht="15.75" customHeight="1" x14ac:dyDescent="0.3">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row>
    <row r="355" spans="1:33" ht="15.75" customHeight="1" x14ac:dyDescent="0.3">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row>
    <row r="356" spans="1:33" ht="15.75" customHeight="1" x14ac:dyDescent="0.3">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row>
    <row r="357" spans="1:33" ht="15.75" customHeight="1" x14ac:dyDescent="0.3">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row>
    <row r="358" spans="1:33" ht="15.75" customHeight="1" x14ac:dyDescent="0.3">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row>
    <row r="359" spans="1:33" ht="15.75" customHeight="1" x14ac:dyDescent="0.3">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row>
    <row r="360" spans="1:33" ht="15.75" customHeight="1" x14ac:dyDescent="0.3">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row>
    <row r="361" spans="1:33" ht="15.75" customHeight="1" x14ac:dyDescent="0.3">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row>
    <row r="362" spans="1:33" ht="15.75" customHeight="1" x14ac:dyDescent="0.3">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row>
    <row r="363" spans="1:33" ht="15.75" customHeight="1" x14ac:dyDescent="0.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row>
    <row r="364" spans="1:33" ht="15.75" customHeight="1" x14ac:dyDescent="0.3">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row>
    <row r="365" spans="1:33" ht="15.75" customHeight="1" x14ac:dyDescent="0.3">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row>
    <row r="366" spans="1:33" ht="15.75" customHeight="1" x14ac:dyDescent="0.3">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row>
    <row r="367" spans="1:33" ht="15.75" customHeight="1" x14ac:dyDescent="0.3">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row>
    <row r="368" spans="1:33" ht="15.75" customHeight="1" x14ac:dyDescent="0.3">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row>
    <row r="369" spans="1:33" ht="15.75" customHeight="1" x14ac:dyDescent="0.3">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row>
    <row r="370" spans="1:33" ht="15.75" customHeight="1" x14ac:dyDescent="0.3">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row>
    <row r="371" spans="1:33" ht="15.75" customHeight="1" x14ac:dyDescent="0.3">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row>
    <row r="372" spans="1:33" ht="15.75" customHeight="1" x14ac:dyDescent="0.3">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row>
    <row r="373" spans="1:33" ht="15.75" customHeight="1" x14ac:dyDescent="0.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row>
    <row r="374" spans="1:33" ht="15.75" customHeight="1" x14ac:dyDescent="0.3">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row>
    <row r="375" spans="1:33" ht="15.75" customHeight="1" x14ac:dyDescent="0.3">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row>
    <row r="376" spans="1:33" ht="15.75" customHeight="1" x14ac:dyDescent="0.3">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row>
    <row r="377" spans="1:33" ht="15.75" customHeight="1" x14ac:dyDescent="0.3">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row>
    <row r="378" spans="1:33" ht="15.75" customHeight="1" x14ac:dyDescent="0.3">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row>
    <row r="379" spans="1:33" ht="15.75" customHeight="1" x14ac:dyDescent="0.3">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row>
    <row r="380" spans="1:33" ht="15.75" customHeight="1" x14ac:dyDescent="0.3">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row>
    <row r="381" spans="1:33" ht="15.75" customHeight="1" x14ac:dyDescent="0.3">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row>
    <row r="382" spans="1:33" ht="15.75" customHeight="1" x14ac:dyDescent="0.3">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row>
    <row r="383" spans="1:33" ht="15.75" customHeight="1" x14ac:dyDescent="0.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row>
    <row r="384" spans="1:33" ht="15.75" customHeight="1" x14ac:dyDescent="0.3">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row>
    <row r="385" spans="1:33" ht="15.75" customHeight="1" x14ac:dyDescent="0.3">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row>
    <row r="386" spans="1:33" ht="15.75" customHeight="1" x14ac:dyDescent="0.3">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row>
    <row r="387" spans="1:33" ht="15.75" customHeight="1" x14ac:dyDescent="0.3">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row>
    <row r="388" spans="1:33" ht="15.75" customHeight="1" x14ac:dyDescent="0.3">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row>
    <row r="389" spans="1:33" ht="15.75" customHeight="1" x14ac:dyDescent="0.3">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row>
    <row r="390" spans="1:33" ht="15.75" customHeight="1" x14ac:dyDescent="0.3">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row>
    <row r="391" spans="1:33" ht="15.75" customHeight="1" x14ac:dyDescent="0.3">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row>
    <row r="392" spans="1:33" ht="15.75" customHeight="1" x14ac:dyDescent="0.3">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row>
    <row r="393" spans="1:33" ht="15.75" customHeight="1" x14ac:dyDescent="0.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row>
    <row r="394" spans="1:33" ht="15.75" customHeight="1" x14ac:dyDescent="0.3">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row>
    <row r="395" spans="1:33" ht="15.75" customHeight="1" x14ac:dyDescent="0.3">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row>
    <row r="396" spans="1:33" ht="15.75" customHeight="1" x14ac:dyDescent="0.3">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row>
    <row r="397" spans="1:33" ht="15.75" customHeight="1" x14ac:dyDescent="0.3">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row>
    <row r="398" spans="1:33" ht="15.75" customHeight="1" x14ac:dyDescent="0.3">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row>
    <row r="399" spans="1:33" ht="15.75" customHeight="1" x14ac:dyDescent="0.3">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row>
    <row r="400" spans="1:33" ht="15.75" customHeight="1" x14ac:dyDescent="0.3">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row>
    <row r="401" spans="1:33" ht="15.75" customHeight="1" x14ac:dyDescent="0.3">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row>
    <row r="402" spans="1:33" ht="15.75" customHeight="1" x14ac:dyDescent="0.3">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row>
    <row r="403" spans="1:33" ht="15.75" customHeight="1" x14ac:dyDescent="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row>
    <row r="404" spans="1:33" ht="15.75" customHeight="1" x14ac:dyDescent="0.3">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row>
    <row r="405" spans="1:33" ht="15.75" customHeight="1" x14ac:dyDescent="0.3">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row>
    <row r="406" spans="1:33" ht="15.75" customHeight="1" x14ac:dyDescent="0.3">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row>
    <row r="407" spans="1:33" ht="15.75" customHeight="1" x14ac:dyDescent="0.3">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row>
    <row r="408" spans="1:33" ht="15.75" customHeight="1" x14ac:dyDescent="0.3">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row>
    <row r="409" spans="1:33" ht="15.75" customHeight="1" x14ac:dyDescent="0.3">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row>
    <row r="410" spans="1:33" ht="15.75" customHeight="1" x14ac:dyDescent="0.3">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row>
    <row r="411" spans="1:33" ht="15.75" customHeight="1" x14ac:dyDescent="0.3">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row>
    <row r="412" spans="1:33" ht="15.75" customHeight="1" x14ac:dyDescent="0.3">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row>
    <row r="413" spans="1:33" ht="15.75" customHeight="1" x14ac:dyDescent="0.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row>
    <row r="414" spans="1:33" ht="15.75" customHeight="1" x14ac:dyDescent="0.3">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row>
    <row r="415" spans="1:33" ht="15.75" customHeight="1" x14ac:dyDescent="0.3">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row>
    <row r="416" spans="1:33" ht="15.75" customHeight="1" x14ac:dyDescent="0.3">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row>
    <row r="417" spans="1:33" ht="15.75" customHeight="1" x14ac:dyDescent="0.3">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row>
    <row r="418" spans="1:33" ht="15.75" customHeight="1" x14ac:dyDescent="0.3">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row>
    <row r="419" spans="1:33" ht="15.75" customHeight="1" x14ac:dyDescent="0.3">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row>
    <row r="420" spans="1:33" ht="15.75" customHeight="1" x14ac:dyDescent="0.3">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row>
    <row r="421" spans="1:33" ht="15.75" customHeight="1" x14ac:dyDescent="0.3">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row>
    <row r="422" spans="1:33" ht="15.75" customHeight="1" x14ac:dyDescent="0.3">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row>
    <row r="423" spans="1:33" ht="15.75" customHeight="1" x14ac:dyDescent="0.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row>
    <row r="424" spans="1:33" ht="15.75" customHeight="1" x14ac:dyDescent="0.3">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row>
    <row r="425" spans="1:33" ht="15.75" customHeight="1" x14ac:dyDescent="0.3">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row>
    <row r="426" spans="1:33" ht="15.75" customHeight="1" x14ac:dyDescent="0.3">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row>
    <row r="427" spans="1:33" ht="15.75" customHeight="1" x14ac:dyDescent="0.3">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row>
    <row r="428" spans="1:33" ht="15.75" customHeight="1" x14ac:dyDescent="0.3">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row>
    <row r="429" spans="1:33" ht="15.75" customHeight="1" x14ac:dyDescent="0.3">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row>
    <row r="430" spans="1:33" ht="15.75" customHeight="1" x14ac:dyDescent="0.3">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row>
    <row r="431" spans="1:33" ht="15.75" customHeight="1" x14ac:dyDescent="0.3">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row>
    <row r="432" spans="1:33" ht="15.75" customHeight="1" x14ac:dyDescent="0.3">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row>
    <row r="433" spans="1:33" ht="15.75" customHeight="1" x14ac:dyDescent="0.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row>
    <row r="434" spans="1:33" ht="15.75" customHeight="1" x14ac:dyDescent="0.3">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row>
    <row r="435" spans="1:33" ht="15.75" customHeight="1" x14ac:dyDescent="0.3">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row>
    <row r="436" spans="1:33" ht="15.75" customHeight="1" x14ac:dyDescent="0.3">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row>
    <row r="437" spans="1:33" ht="15.75" customHeight="1" x14ac:dyDescent="0.3">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row>
    <row r="438" spans="1:33" ht="15.75" customHeight="1" x14ac:dyDescent="0.3">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row>
    <row r="439" spans="1:33" ht="15.75" customHeight="1" x14ac:dyDescent="0.3">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row>
    <row r="440" spans="1:33" ht="15.75" customHeight="1" x14ac:dyDescent="0.3">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row>
    <row r="441" spans="1:33" ht="15.75" customHeight="1" x14ac:dyDescent="0.3">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row>
    <row r="442" spans="1:33" ht="15.75" customHeight="1" x14ac:dyDescent="0.3">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row>
    <row r="443" spans="1:33" ht="15.75" customHeight="1" x14ac:dyDescent="0.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row>
    <row r="444" spans="1:33" ht="15.75" customHeight="1" x14ac:dyDescent="0.3">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row>
    <row r="445" spans="1:33" ht="15.75" customHeight="1" x14ac:dyDescent="0.3">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row>
    <row r="446" spans="1:33" ht="15.75" customHeight="1" x14ac:dyDescent="0.3">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row>
    <row r="447" spans="1:33" ht="15.75" customHeight="1" x14ac:dyDescent="0.3">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row>
    <row r="448" spans="1:33" ht="15.75" customHeight="1" x14ac:dyDescent="0.3">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row>
    <row r="449" spans="1:33" ht="15.75" customHeight="1" x14ac:dyDescent="0.3">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row>
    <row r="450" spans="1:33" ht="15.75" customHeight="1" x14ac:dyDescent="0.3">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row>
    <row r="451" spans="1:33" ht="15.75" customHeight="1" x14ac:dyDescent="0.3">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row>
    <row r="452" spans="1:33" ht="15.75" customHeight="1" x14ac:dyDescent="0.3">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row>
    <row r="453" spans="1:33" ht="15.75" customHeight="1" x14ac:dyDescent="0.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row>
    <row r="454" spans="1:33" ht="15.75" customHeight="1" x14ac:dyDescent="0.3">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row>
    <row r="455" spans="1:33" ht="15.75" customHeight="1" x14ac:dyDescent="0.3">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row>
    <row r="456" spans="1:33" ht="15.75" customHeight="1" x14ac:dyDescent="0.3">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row>
    <row r="457" spans="1:33" ht="15.75" customHeight="1" x14ac:dyDescent="0.3">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row>
    <row r="458" spans="1:33" ht="15.75" customHeight="1" x14ac:dyDescent="0.3">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row>
    <row r="459" spans="1:33" ht="15.75" customHeight="1" x14ac:dyDescent="0.3">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row>
    <row r="460" spans="1:33" ht="15.75" customHeight="1" x14ac:dyDescent="0.3">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row>
    <row r="461" spans="1:33" ht="15.75" customHeight="1" x14ac:dyDescent="0.3">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row>
    <row r="462" spans="1:33" ht="15.75" customHeight="1" x14ac:dyDescent="0.3">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row>
    <row r="463" spans="1:33" ht="15.75" customHeight="1" x14ac:dyDescent="0.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row>
    <row r="464" spans="1:33" ht="15.75" customHeight="1" x14ac:dyDescent="0.3">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row>
    <row r="465" spans="1:33" ht="15.75" customHeight="1" x14ac:dyDescent="0.3">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row>
    <row r="466" spans="1:33" ht="15.75" customHeight="1" x14ac:dyDescent="0.3">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row>
    <row r="467" spans="1:33" ht="15.75" customHeight="1" x14ac:dyDescent="0.3">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row>
    <row r="468" spans="1:33" ht="15.75" customHeight="1" x14ac:dyDescent="0.3">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row>
    <row r="469" spans="1:33" ht="15.75" customHeight="1" x14ac:dyDescent="0.3">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row>
    <row r="470" spans="1:33" ht="15.75" customHeight="1" x14ac:dyDescent="0.3">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row>
    <row r="471" spans="1:33" ht="15.75" customHeight="1" x14ac:dyDescent="0.3">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row>
    <row r="472" spans="1:33" ht="15.75" customHeight="1" x14ac:dyDescent="0.3">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row>
    <row r="473" spans="1:33" ht="15.75" customHeight="1" x14ac:dyDescent="0.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row>
    <row r="474" spans="1:33" ht="15.75" customHeight="1" x14ac:dyDescent="0.3">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row>
    <row r="475" spans="1:33" ht="15.75" customHeight="1" x14ac:dyDescent="0.3">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row>
    <row r="476" spans="1:33" ht="15.75" customHeight="1" x14ac:dyDescent="0.3">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row>
    <row r="477" spans="1:33" ht="15.75" customHeight="1" x14ac:dyDescent="0.3">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row>
    <row r="478" spans="1:33" ht="15.75" customHeight="1" x14ac:dyDescent="0.3">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row>
    <row r="479" spans="1:33" ht="15.75" customHeight="1" x14ac:dyDescent="0.3">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row>
    <row r="480" spans="1:33" ht="15.75" customHeight="1" x14ac:dyDescent="0.3">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row>
    <row r="481" spans="1:33" ht="15.75" customHeight="1" x14ac:dyDescent="0.3">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row>
    <row r="482" spans="1:33" ht="15.75" customHeight="1" x14ac:dyDescent="0.3">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row>
    <row r="483" spans="1:33" ht="15.75" customHeight="1" x14ac:dyDescent="0.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row>
    <row r="484" spans="1:33" ht="15.75" customHeight="1" x14ac:dyDescent="0.3">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row>
    <row r="485" spans="1:33" ht="15.75" customHeight="1" x14ac:dyDescent="0.3">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row>
    <row r="486" spans="1:33" ht="15.75" customHeight="1" x14ac:dyDescent="0.3">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row>
    <row r="487" spans="1:33" ht="15.75" customHeight="1" x14ac:dyDescent="0.3">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row>
    <row r="488" spans="1:33" ht="15.75" customHeight="1" x14ac:dyDescent="0.3">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row>
    <row r="489" spans="1:33" ht="15.75" customHeight="1" x14ac:dyDescent="0.3">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row>
    <row r="490" spans="1:33" ht="15.75" customHeight="1" x14ac:dyDescent="0.3">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row>
    <row r="491" spans="1:33" ht="15.75" customHeight="1" x14ac:dyDescent="0.3">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row>
    <row r="492" spans="1:33" ht="15.75" customHeight="1" x14ac:dyDescent="0.3">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row>
    <row r="493" spans="1:33" ht="15.75" customHeight="1" x14ac:dyDescent="0.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row>
    <row r="494" spans="1:33" ht="15.75" customHeight="1" x14ac:dyDescent="0.3">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row>
    <row r="495" spans="1:33" ht="15.75" customHeight="1" x14ac:dyDescent="0.3">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row>
    <row r="496" spans="1:33" ht="15.75" customHeight="1" x14ac:dyDescent="0.3">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row>
    <row r="497" spans="1:33" ht="15.75" customHeight="1" x14ac:dyDescent="0.3">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row>
    <row r="498" spans="1:33" ht="15.75" customHeight="1" x14ac:dyDescent="0.3">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row>
    <row r="499" spans="1:33" ht="15.75" customHeight="1" x14ac:dyDescent="0.3">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row>
    <row r="500" spans="1:33" ht="15.75" customHeight="1" x14ac:dyDescent="0.3">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row>
    <row r="501" spans="1:33" ht="15.75" customHeight="1" x14ac:dyDescent="0.3">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row>
    <row r="502" spans="1:33" ht="15.75" customHeight="1" x14ac:dyDescent="0.3">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row>
    <row r="503" spans="1:33" ht="15.75" customHeight="1" x14ac:dyDescent="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row>
    <row r="504" spans="1:33" ht="15.75" customHeight="1" x14ac:dyDescent="0.3">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row>
    <row r="505" spans="1:33" ht="15.75" customHeight="1" x14ac:dyDescent="0.3">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row>
    <row r="506" spans="1:33" ht="15.75" customHeight="1" x14ac:dyDescent="0.3">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row>
    <row r="507" spans="1:33" ht="15.75" customHeight="1" x14ac:dyDescent="0.3">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row>
    <row r="508" spans="1:33" ht="15.75" customHeight="1" x14ac:dyDescent="0.3">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row>
    <row r="509" spans="1:33" ht="15.75" customHeight="1" x14ac:dyDescent="0.3">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row>
    <row r="510" spans="1:33" ht="15.75" customHeight="1" x14ac:dyDescent="0.3">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row>
    <row r="511" spans="1:33" ht="15.75" customHeight="1" x14ac:dyDescent="0.3">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row>
    <row r="512" spans="1:33" ht="15.75" customHeight="1" x14ac:dyDescent="0.3">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row>
    <row r="513" spans="1:33" ht="15.75" customHeight="1" x14ac:dyDescent="0.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row>
    <row r="514" spans="1:33" ht="15.75" customHeight="1" x14ac:dyDescent="0.3">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row>
    <row r="515" spans="1:33" ht="15.75" customHeight="1" x14ac:dyDescent="0.3">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row>
    <row r="516" spans="1:33" ht="15.75" customHeight="1" x14ac:dyDescent="0.3">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row>
    <row r="517" spans="1:33" ht="15.75" customHeight="1" x14ac:dyDescent="0.3">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row>
    <row r="518" spans="1:33" ht="15.75" customHeight="1" x14ac:dyDescent="0.3">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row>
    <row r="519" spans="1:33" ht="15.75" customHeight="1" x14ac:dyDescent="0.3">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row>
    <row r="520" spans="1:33" ht="15.75" customHeight="1" x14ac:dyDescent="0.3">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row>
    <row r="521" spans="1:33" ht="15.75" customHeight="1" x14ac:dyDescent="0.3">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row>
    <row r="522" spans="1:33" ht="15.75" customHeight="1" x14ac:dyDescent="0.3">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row>
    <row r="523" spans="1:33" ht="15.75" customHeight="1" x14ac:dyDescent="0.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row>
    <row r="524" spans="1:33" ht="15.75" customHeight="1" x14ac:dyDescent="0.3">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row>
    <row r="525" spans="1:33" ht="15.75" customHeight="1" x14ac:dyDescent="0.3">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row>
    <row r="526" spans="1:33" ht="15.75" customHeight="1" x14ac:dyDescent="0.3">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row>
    <row r="527" spans="1:33" ht="15.75" customHeight="1" x14ac:dyDescent="0.3">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row>
    <row r="528" spans="1:33" ht="15.75" customHeight="1" x14ac:dyDescent="0.3">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row>
    <row r="529" spans="1:33" ht="15.75" customHeight="1" x14ac:dyDescent="0.3">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row>
    <row r="530" spans="1:33" ht="15.75" customHeight="1" x14ac:dyDescent="0.3">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row>
    <row r="531" spans="1:33" ht="15.75" customHeight="1" x14ac:dyDescent="0.3">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row>
    <row r="532" spans="1:33" ht="15.75" customHeight="1" x14ac:dyDescent="0.3">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row>
    <row r="533" spans="1:33" ht="15.75" customHeight="1" x14ac:dyDescent="0.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row>
    <row r="534" spans="1:33" ht="15.75" customHeight="1" x14ac:dyDescent="0.3">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row>
    <row r="535" spans="1:33" ht="15.75" customHeight="1" x14ac:dyDescent="0.3">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row>
    <row r="536" spans="1:33" ht="15.75" customHeight="1" x14ac:dyDescent="0.3">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row>
    <row r="537" spans="1:33" ht="15.75" customHeight="1" x14ac:dyDescent="0.3">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row>
    <row r="538" spans="1:33" ht="15.75" customHeight="1" x14ac:dyDescent="0.3">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row>
    <row r="539" spans="1:33" ht="15.75" customHeight="1" x14ac:dyDescent="0.3">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row>
    <row r="540" spans="1:33" ht="15.75" customHeight="1" x14ac:dyDescent="0.3">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row>
    <row r="541" spans="1:33" ht="15.75" customHeight="1" x14ac:dyDescent="0.3">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row>
    <row r="542" spans="1:33" ht="15.75" customHeight="1" x14ac:dyDescent="0.3">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row>
    <row r="543" spans="1:33" ht="15.75" customHeight="1" x14ac:dyDescent="0.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row>
    <row r="544" spans="1:33" ht="15.75" customHeight="1" x14ac:dyDescent="0.3">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row>
    <row r="545" spans="1:33" ht="15.75" customHeight="1" x14ac:dyDescent="0.3">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row>
    <row r="546" spans="1:33" ht="15.75" customHeight="1" x14ac:dyDescent="0.3">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row>
    <row r="547" spans="1:33" ht="15.75" customHeight="1" x14ac:dyDescent="0.3">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row>
    <row r="548" spans="1:33" ht="15.75" customHeight="1" x14ac:dyDescent="0.3">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row>
    <row r="549" spans="1:33" ht="15.75" customHeight="1" x14ac:dyDescent="0.3">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row>
    <row r="550" spans="1:33" ht="15.75" customHeight="1" x14ac:dyDescent="0.3">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row>
    <row r="551" spans="1:33" ht="15.75" customHeight="1" x14ac:dyDescent="0.3">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row>
    <row r="552" spans="1:33" ht="15.75" customHeight="1" x14ac:dyDescent="0.3">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row>
    <row r="553" spans="1:33" ht="15.75" customHeight="1" x14ac:dyDescent="0.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row>
    <row r="554" spans="1:33" ht="15.75" customHeight="1" x14ac:dyDescent="0.3">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row>
    <row r="555" spans="1:33" ht="15.75" customHeight="1" x14ac:dyDescent="0.3">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row>
    <row r="556" spans="1:33" ht="15.75" customHeight="1" x14ac:dyDescent="0.3">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row>
    <row r="557" spans="1:33" ht="15.75" customHeight="1" x14ac:dyDescent="0.3">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row>
    <row r="558" spans="1:33" ht="15.75" customHeight="1" x14ac:dyDescent="0.3">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row>
    <row r="559" spans="1:33" ht="15.75" customHeight="1" x14ac:dyDescent="0.3">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row>
    <row r="560" spans="1:33" ht="15.75" customHeight="1" x14ac:dyDescent="0.3">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row>
    <row r="561" spans="1:33" ht="15.75" customHeight="1" x14ac:dyDescent="0.3">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row>
    <row r="562" spans="1:33" ht="15.75" customHeight="1" x14ac:dyDescent="0.3">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row>
    <row r="563" spans="1:33" ht="15.75" customHeight="1" x14ac:dyDescent="0.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row>
    <row r="564" spans="1:33" ht="15.75" customHeight="1" x14ac:dyDescent="0.3">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row>
    <row r="565" spans="1:33" ht="15.75" customHeight="1" x14ac:dyDescent="0.3">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row>
    <row r="566" spans="1:33" ht="15.75" customHeight="1" x14ac:dyDescent="0.3">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row>
    <row r="567" spans="1:33" ht="15.75" customHeight="1" x14ac:dyDescent="0.3">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row>
    <row r="568" spans="1:33" ht="15.75" customHeight="1" x14ac:dyDescent="0.3">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row>
    <row r="569" spans="1:33" ht="15.75" customHeight="1" x14ac:dyDescent="0.3">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row>
    <row r="570" spans="1:33" ht="15.75" customHeight="1" x14ac:dyDescent="0.3">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row>
    <row r="571" spans="1:33" ht="15.75" customHeight="1" x14ac:dyDescent="0.3">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row>
    <row r="572" spans="1:33" ht="15.75" customHeight="1" x14ac:dyDescent="0.3">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row>
    <row r="573" spans="1:33" ht="15.75" customHeight="1" x14ac:dyDescent="0.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row>
    <row r="574" spans="1:33" ht="15.75" customHeight="1" x14ac:dyDescent="0.3">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row>
    <row r="575" spans="1:33" ht="15.75" customHeight="1" x14ac:dyDescent="0.3">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row>
    <row r="576" spans="1:33" ht="15.75" customHeight="1" x14ac:dyDescent="0.3">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row>
    <row r="577" spans="1:33" ht="15.75" customHeight="1" x14ac:dyDescent="0.3">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row>
    <row r="578" spans="1:33" ht="15.75" customHeight="1" x14ac:dyDescent="0.3">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row>
    <row r="579" spans="1:33" ht="15.75" customHeight="1" x14ac:dyDescent="0.3">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row>
    <row r="580" spans="1:33" ht="15.75" customHeight="1" x14ac:dyDescent="0.3">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row>
    <row r="581" spans="1:33" ht="15.75" customHeight="1" x14ac:dyDescent="0.3">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row>
    <row r="582" spans="1:33" ht="15.75" customHeight="1" x14ac:dyDescent="0.3">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row>
    <row r="583" spans="1:33" ht="15.75" customHeight="1" x14ac:dyDescent="0.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row>
    <row r="584" spans="1:33" ht="15.75" customHeight="1" x14ac:dyDescent="0.3">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row>
    <row r="585" spans="1:33" ht="15.75" customHeight="1" x14ac:dyDescent="0.3">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row>
    <row r="586" spans="1:33" ht="15.75" customHeight="1" x14ac:dyDescent="0.3">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row>
    <row r="587" spans="1:33" ht="15.75" customHeight="1" x14ac:dyDescent="0.3">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row>
    <row r="588" spans="1:33" ht="15.75" customHeight="1" x14ac:dyDescent="0.3">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row>
    <row r="589" spans="1:33" ht="15.75" customHeight="1" x14ac:dyDescent="0.3">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row>
    <row r="590" spans="1:33" ht="15.75" customHeight="1" x14ac:dyDescent="0.3">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row>
    <row r="591" spans="1:33" ht="15.75" customHeight="1" x14ac:dyDescent="0.3">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row>
    <row r="592" spans="1:33" ht="15.75" customHeight="1" x14ac:dyDescent="0.3">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row>
    <row r="593" spans="1:33" ht="15.75" customHeight="1" x14ac:dyDescent="0.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row>
    <row r="594" spans="1:33" ht="15.75" customHeight="1" x14ac:dyDescent="0.3">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row>
    <row r="595" spans="1:33" ht="15.75" customHeight="1" x14ac:dyDescent="0.3">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row>
    <row r="596" spans="1:33" ht="15.75" customHeight="1" x14ac:dyDescent="0.3">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row>
    <row r="597" spans="1:33" ht="15.75" customHeight="1" x14ac:dyDescent="0.3">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row>
    <row r="598" spans="1:33" ht="15.75" customHeight="1" x14ac:dyDescent="0.3">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row>
    <row r="599" spans="1:33" ht="15.75" customHeight="1" x14ac:dyDescent="0.3">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row>
    <row r="600" spans="1:33" ht="15.75" customHeight="1" x14ac:dyDescent="0.3">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row>
    <row r="601" spans="1:33" ht="15.75" customHeight="1" x14ac:dyDescent="0.3">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row>
    <row r="602" spans="1:33" ht="15.75" customHeight="1" x14ac:dyDescent="0.3">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row>
    <row r="603" spans="1:33" ht="15.75" customHeight="1" x14ac:dyDescent="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row>
    <row r="604" spans="1:33" ht="15.75" customHeight="1" x14ac:dyDescent="0.3">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row>
    <row r="605" spans="1:33" ht="15.75" customHeight="1" x14ac:dyDescent="0.3">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row>
    <row r="606" spans="1:33" ht="15.75" customHeight="1" x14ac:dyDescent="0.3">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row>
    <row r="607" spans="1:33" ht="15.75" customHeight="1" x14ac:dyDescent="0.3">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row>
    <row r="608" spans="1:33" ht="15.75" customHeight="1" x14ac:dyDescent="0.3">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row>
    <row r="609" spans="1:33" ht="15.75" customHeight="1" x14ac:dyDescent="0.3">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row>
    <row r="610" spans="1:33" ht="15.75" customHeight="1" x14ac:dyDescent="0.3">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row>
    <row r="611" spans="1:33" ht="15.75" customHeight="1" x14ac:dyDescent="0.3">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row>
    <row r="612" spans="1:33" ht="15.75" customHeight="1" x14ac:dyDescent="0.3">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row>
    <row r="613" spans="1:33" ht="15.75" customHeight="1" x14ac:dyDescent="0.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row>
    <row r="614" spans="1:33" ht="15.75" customHeight="1" x14ac:dyDescent="0.3">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row>
    <row r="615" spans="1:33" ht="15.75" customHeight="1" x14ac:dyDescent="0.3">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row>
    <row r="616" spans="1:33" ht="15.75" customHeight="1" x14ac:dyDescent="0.3">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row>
    <row r="617" spans="1:33" ht="15.75" customHeight="1" x14ac:dyDescent="0.3">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row>
    <row r="618" spans="1:33" ht="15.75" customHeight="1" x14ac:dyDescent="0.3">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row>
    <row r="619" spans="1:33" ht="15.75" customHeight="1" x14ac:dyDescent="0.3">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row>
    <row r="620" spans="1:33" ht="15.75" customHeight="1" x14ac:dyDescent="0.3">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row>
    <row r="621" spans="1:33" ht="15.75" customHeight="1" x14ac:dyDescent="0.3">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row>
    <row r="622" spans="1:33" ht="15.75" customHeight="1" x14ac:dyDescent="0.3">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row>
    <row r="623" spans="1:33" ht="15.75" customHeight="1" x14ac:dyDescent="0.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row>
    <row r="624" spans="1:33" ht="15.75" customHeight="1" x14ac:dyDescent="0.3">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row>
    <row r="625" spans="1:33" ht="15.75" customHeight="1" x14ac:dyDescent="0.3">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row>
    <row r="626" spans="1:33" ht="15.75" customHeight="1" x14ac:dyDescent="0.3">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row>
    <row r="627" spans="1:33" ht="15.75" customHeight="1" x14ac:dyDescent="0.3">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row>
    <row r="628" spans="1:33" ht="15.75" customHeight="1" x14ac:dyDescent="0.3">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row>
    <row r="629" spans="1:33" ht="15.75" customHeight="1" x14ac:dyDescent="0.3">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row>
    <row r="630" spans="1:33" ht="15.75" customHeight="1" x14ac:dyDescent="0.3">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row>
    <row r="631" spans="1:33" ht="15.75" customHeight="1" x14ac:dyDescent="0.3">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row>
    <row r="632" spans="1:33" ht="15.75" customHeight="1" x14ac:dyDescent="0.3">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row>
    <row r="633" spans="1:33" ht="15.75" customHeight="1" x14ac:dyDescent="0.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row>
    <row r="634" spans="1:33" ht="15.75" customHeight="1" x14ac:dyDescent="0.3">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row>
    <row r="635" spans="1:33" ht="15.75" customHeight="1" x14ac:dyDescent="0.3">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row>
    <row r="636" spans="1:33" ht="15.75" customHeight="1" x14ac:dyDescent="0.3">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row>
    <row r="637" spans="1:33" ht="15.75" customHeight="1" x14ac:dyDescent="0.3">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row>
    <row r="638" spans="1:33" ht="15.75" customHeight="1" x14ac:dyDescent="0.3">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row>
    <row r="639" spans="1:33" ht="15.75" customHeight="1" x14ac:dyDescent="0.3">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row>
    <row r="640" spans="1:33" ht="15.75" customHeight="1" x14ac:dyDescent="0.3">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row>
    <row r="641" spans="1:33" ht="15.75" customHeight="1" x14ac:dyDescent="0.3">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row>
    <row r="642" spans="1:33" ht="15.75" customHeight="1" x14ac:dyDescent="0.3">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row>
    <row r="643" spans="1:33" ht="15.75" customHeight="1" x14ac:dyDescent="0.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row>
    <row r="644" spans="1:33" ht="15.75" customHeight="1" x14ac:dyDescent="0.3">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row>
    <row r="645" spans="1:33" ht="15.75" customHeight="1" x14ac:dyDescent="0.3">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row>
    <row r="646" spans="1:33" ht="15.75" customHeight="1" x14ac:dyDescent="0.3">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row>
    <row r="647" spans="1:33" ht="15.75" customHeight="1" x14ac:dyDescent="0.3">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row>
    <row r="648" spans="1:33" ht="15.75" customHeight="1" x14ac:dyDescent="0.3">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row>
    <row r="649" spans="1:33" ht="15.75" customHeight="1" x14ac:dyDescent="0.3">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row>
    <row r="650" spans="1:33" ht="15.75" customHeight="1" x14ac:dyDescent="0.3">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row>
    <row r="651" spans="1:33" ht="15.75" customHeight="1" x14ac:dyDescent="0.3">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row>
    <row r="652" spans="1:33" ht="15.75" customHeight="1" x14ac:dyDescent="0.3">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row>
    <row r="653" spans="1:33" ht="15.75" customHeight="1" x14ac:dyDescent="0.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row>
    <row r="654" spans="1:33" ht="15.75" customHeight="1" x14ac:dyDescent="0.3">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row>
    <row r="655" spans="1:33" ht="15.75" customHeight="1" x14ac:dyDescent="0.3">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row>
    <row r="656" spans="1:33" ht="15.75" customHeight="1" x14ac:dyDescent="0.3">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row>
    <row r="657" spans="1:33" ht="15.75" customHeight="1" x14ac:dyDescent="0.3">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row>
    <row r="658" spans="1:33" ht="15.75" customHeight="1" x14ac:dyDescent="0.3">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row>
    <row r="659" spans="1:33" ht="15.75" customHeight="1" x14ac:dyDescent="0.3">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row>
    <row r="660" spans="1:33" ht="15.75" customHeight="1" x14ac:dyDescent="0.3">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row>
    <row r="661" spans="1:33" ht="15.75" customHeight="1" x14ac:dyDescent="0.3">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row>
    <row r="662" spans="1:33" ht="15.75" customHeight="1" x14ac:dyDescent="0.3">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row>
    <row r="663" spans="1:33" ht="15.75" customHeight="1" x14ac:dyDescent="0.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row>
    <row r="664" spans="1:33" ht="15.75" customHeight="1" x14ac:dyDescent="0.3">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row>
    <row r="665" spans="1:33" ht="15.75" customHeight="1" x14ac:dyDescent="0.3">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row>
    <row r="666" spans="1:33" ht="15.75" customHeight="1" x14ac:dyDescent="0.3">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row>
    <row r="667" spans="1:33" ht="15.75" customHeight="1" x14ac:dyDescent="0.3">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row>
    <row r="668" spans="1:33" ht="15.75" customHeight="1" x14ac:dyDescent="0.3">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row>
    <row r="669" spans="1:33" ht="15.75" customHeight="1" x14ac:dyDescent="0.3">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row>
    <row r="670" spans="1:33" ht="15.75" customHeight="1" x14ac:dyDescent="0.3">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row>
    <row r="671" spans="1:33" ht="15.75" customHeight="1" x14ac:dyDescent="0.3">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row>
    <row r="672" spans="1:33" ht="15.75" customHeight="1" x14ac:dyDescent="0.3">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row>
    <row r="673" spans="1:33" ht="15.75" customHeight="1" x14ac:dyDescent="0.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row>
    <row r="674" spans="1:33" ht="15.75" customHeight="1" x14ac:dyDescent="0.3">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row>
    <row r="675" spans="1:33" ht="15.75" customHeight="1" x14ac:dyDescent="0.3">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row>
    <row r="676" spans="1:33" ht="15.75" customHeight="1" x14ac:dyDescent="0.3">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row>
    <row r="677" spans="1:33" ht="15.75" customHeight="1" x14ac:dyDescent="0.3">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row>
    <row r="678" spans="1:33" ht="15.75" customHeight="1" x14ac:dyDescent="0.3">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row>
    <row r="679" spans="1:33" ht="15.75" customHeight="1" x14ac:dyDescent="0.3">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row>
    <row r="680" spans="1:33" ht="15.75" customHeight="1" x14ac:dyDescent="0.3">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row>
    <row r="681" spans="1:33" ht="15.75" customHeight="1" x14ac:dyDescent="0.3">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row>
    <row r="682" spans="1:33" ht="15.75" customHeight="1" x14ac:dyDescent="0.3">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row>
    <row r="683" spans="1:33" ht="15.75" customHeight="1" x14ac:dyDescent="0.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row>
    <row r="684" spans="1:33" ht="15.75" customHeight="1" x14ac:dyDescent="0.3">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row>
    <row r="685" spans="1:33" ht="15.75" customHeight="1" x14ac:dyDescent="0.3">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row>
    <row r="686" spans="1:33" ht="15.75" customHeight="1" x14ac:dyDescent="0.3">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row>
    <row r="687" spans="1:33" ht="15.75" customHeight="1" x14ac:dyDescent="0.3">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row>
    <row r="688" spans="1:33" ht="15.75" customHeight="1" x14ac:dyDescent="0.3">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row>
    <row r="689" spans="1:33" ht="15.75" customHeight="1" x14ac:dyDescent="0.3">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row>
    <row r="690" spans="1:33" ht="15.75" customHeight="1" x14ac:dyDescent="0.3">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row>
    <row r="691" spans="1:33" ht="15.75" customHeight="1" x14ac:dyDescent="0.3">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row>
    <row r="692" spans="1:33" ht="15.75" customHeight="1" x14ac:dyDescent="0.3">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row>
    <row r="693" spans="1:33" ht="15.75" customHeight="1" x14ac:dyDescent="0.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row>
    <row r="694" spans="1:33" ht="15.75" customHeight="1" x14ac:dyDescent="0.3">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row>
    <row r="695" spans="1:33" ht="15.75" customHeight="1" x14ac:dyDescent="0.3">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row>
    <row r="696" spans="1:33" ht="15.75" customHeight="1" x14ac:dyDescent="0.3">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row>
    <row r="697" spans="1:33" ht="15.75" customHeight="1" x14ac:dyDescent="0.3">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row>
    <row r="698" spans="1:33" ht="15.75" customHeight="1" x14ac:dyDescent="0.3">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row>
    <row r="699" spans="1:33" ht="15.75" customHeight="1" x14ac:dyDescent="0.3">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row>
    <row r="700" spans="1:33" ht="15.75" customHeight="1" x14ac:dyDescent="0.3">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row>
    <row r="701" spans="1:33" ht="15.75" customHeight="1" x14ac:dyDescent="0.3">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row>
    <row r="702" spans="1:33" ht="15.75" customHeight="1" x14ac:dyDescent="0.3">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row>
    <row r="703" spans="1:33" ht="15.75" customHeight="1" x14ac:dyDescent="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row>
    <row r="704" spans="1:33" ht="15.75" customHeight="1" x14ac:dyDescent="0.3">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row>
    <row r="705" spans="1:33" ht="15.75" customHeight="1" x14ac:dyDescent="0.3">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row>
    <row r="706" spans="1:33" ht="15.75" customHeight="1" x14ac:dyDescent="0.3">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row>
    <row r="707" spans="1:33" ht="15.75" customHeight="1" x14ac:dyDescent="0.3">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row>
    <row r="708" spans="1:33" ht="15.75" customHeight="1" x14ac:dyDescent="0.3">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row>
    <row r="709" spans="1:33" ht="15.75" customHeight="1" x14ac:dyDescent="0.3">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row>
    <row r="710" spans="1:33" ht="15.75" customHeight="1" x14ac:dyDescent="0.3">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row>
    <row r="711" spans="1:33" ht="15.75" customHeight="1" x14ac:dyDescent="0.3">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row>
    <row r="712" spans="1:33" ht="15.75" customHeight="1" x14ac:dyDescent="0.3">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row>
    <row r="713" spans="1:33" ht="15.75" customHeight="1" x14ac:dyDescent="0.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row>
    <row r="714" spans="1:33" ht="15.75" customHeight="1" x14ac:dyDescent="0.3">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row>
    <row r="715" spans="1:33" ht="15.75" customHeight="1" x14ac:dyDescent="0.3">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row>
    <row r="716" spans="1:33" ht="15.75" customHeight="1" x14ac:dyDescent="0.3">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row>
    <row r="717" spans="1:33" ht="15.75" customHeight="1" x14ac:dyDescent="0.3">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row>
    <row r="718" spans="1:33" ht="15.75" customHeight="1" x14ac:dyDescent="0.3">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row>
    <row r="719" spans="1:33" ht="15.75" customHeight="1" x14ac:dyDescent="0.3">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row>
    <row r="720" spans="1:33" ht="15.75" customHeight="1" x14ac:dyDescent="0.3">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row>
    <row r="721" spans="1:33" ht="15.75" customHeight="1" x14ac:dyDescent="0.3">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row>
    <row r="722" spans="1:33" ht="15.75" customHeight="1" x14ac:dyDescent="0.3">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row>
    <row r="723" spans="1:33" ht="15.75" customHeight="1" x14ac:dyDescent="0.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row>
    <row r="724" spans="1:33" ht="15.75" customHeight="1" x14ac:dyDescent="0.3">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row>
    <row r="725" spans="1:33" ht="15.75" customHeight="1" x14ac:dyDescent="0.3">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row>
    <row r="726" spans="1:33" ht="15.75" customHeight="1" x14ac:dyDescent="0.3">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row>
    <row r="727" spans="1:33" ht="15.75" customHeight="1" x14ac:dyDescent="0.3">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row>
    <row r="728" spans="1:33" ht="15.75" customHeight="1" x14ac:dyDescent="0.3">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row>
    <row r="729" spans="1:33" ht="15.75" customHeight="1" x14ac:dyDescent="0.3">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row>
    <row r="730" spans="1:33" ht="15.75" customHeight="1" x14ac:dyDescent="0.3">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row>
    <row r="731" spans="1:33" ht="15.75" customHeight="1" x14ac:dyDescent="0.3">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row>
    <row r="732" spans="1:33" ht="15.75" customHeight="1" x14ac:dyDescent="0.3">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row>
    <row r="733" spans="1:33" ht="15.75" customHeight="1" x14ac:dyDescent="0.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row>
    <row r="734" spans="1:33" ht="15.75" customHeight="1" x14ac:dyDescent="0.3">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row>
    <row r="735" spans="1:33" ht="15.75" customHeight="1" x14ac:dyDescent="0.3">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row>
    <row r="736" spans="1:33" ht="15.75" customHeight="1" x14ac:dyDescent="0.3">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row>
    <row r="737" spans="1:33" ht="15.75" customHeight="1" x14ac:dyDescent="0.3">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row>
    <row r="738" spans="1:33" ht="15.75" customHeight="1" x14ac:dyDescent="0.3">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row>
    <row r="739" spans="1:33" ht="15.75" customHeight="1" x14ac:dyDescent="0.3">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row>
    <row r="740" spans="1:33" ht="15.75" customHeight="1" x14ac:dyDescent="0.3">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row>
    <row r="741" spans="1:33" ht="15.75" customHeight="1" x14ac:dyDescent="0.3">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row>
    <row r="742" spans="1:33" ht="15.75" customHeight="1" x14ac:dyDescent="0.3">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row>
    <row r="743" spans="1:33" ht="15.75" customHeight="1" x14ac:dyDescent="0.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row>
    <row r="744" spans="1:33" ht="15.75" customHeight="1" x14ac:dyDescent="0.3">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row>
    <row r="745" spans="1:33" ht="15.75" customHeight="1" x14ac:dyDescent="0.3">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row>
    <row r="746" spans="1:33" ht="15.75" customHeight="1" x14ac:dyDescent="0.3">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row>
    <row r="747" spans="1:33" ht="15.75" customHeight="1" x14ac:dyDescent="0.3">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row>
    <row r="748" spans="1:33" ht="15.75" customHeight="1" x14ac:dyDescent="0.3">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row>
    <row r="749" spans="1:33" ht="15.75" customHeight="1" x14ac:dyDescent="0.3">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row>
    <row r="750" spans="1:33" ht="15.75" customHeight="1" x14ac:dyDescent="0.3">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row>
    <row r="751" spans="1:33" ht="15.75" customHeight="1" x14ac:dyDescent="0.3">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row>
    <row r="752" spans="1:33" ht="15.75" customHeight="1" x14ac:dyDescent="0.3">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row>
    <row r="753" spans="1:33" ht="15.75" customHeight="1" x14ac:dyDescent="0.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row>
    <row r="754" spans="1:33" ht="15.75" customHeight="1" x14ac:dyDescent="0.3">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row>
    <row r="755" spans="1:33" ht="15.75" customHeight="1" x14ac:dyDescent="0.3">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row>
    <row r="756" spans="1:33" ht="15.75" customHeight="1" x14ac:dyDescent="0.3">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row>
    <row r="757" spans="1:33" ht="15.75" customHeight="1" x14ac:dyDescent="0.3">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row>
    <row r="758" spans="1:33" ht="15.75" customHeight="1" x14ac:dyDescent="0.3">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row>
    <row r="759" spans="1:33" ht="15.75" customHeight="1" x14ac:dyDescent="0.3">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row>
    <row r="760" spans="1:33" ht="15.75" customHeight="1" x14ac:dyDescent="0.3">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row>
    <row r="761" spans="1:33" ht="15.75" customHeight="1" x14ac:dyDescent="0.3">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row>
    <row r="762" spans="1:33" ht="15.75" customHeight="1" x14ac:dyDescent="0.3">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row>
    <row r="763" spans="1:33" ht="15.75" customHeight="1" x14ac:dyDescent="0.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row>
    <row r="764" spans="1:33" ht="15.75" customHeight="1" x14ac:dyDescent="0.3">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row>
    <row r="765" spans="1:33" ht="15.75" customHeight="1" x14ac:dyDescent="0.3">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row>
    <row r="766" spans="1:33" ht="15.75" customHeight="1" x14ac:dyDescent="0.3">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row>
    <row r="767" spans="1:33" ht="15.75" customHeight="1" x14ac:dyDescent="0.3">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row>
    <row r="768" spans="1:33" ht="15.75" customHeight="1" x14ac:dyDescent="0.3">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row>
    <row r="769" spans="1:33" ht="15.75" customHeight="1" x14ac:dyDescent="0.3">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row>
    <row r="770" spans="1:33" ht="15.75" customHeight="1" x14ac:dyDescent="0.3">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row>
    <row r="771" spans="1:33" ht="15.75" customHeight="1" x14ac:dyDescent="0.3">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row>
    <row r="772" spans="1:33" ht="15.75" customHeight="1" x14ac:dyDescent="0.3">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row>
    <row r="773" spans="1:33" ht="15.75" customHeight="1" x14ac:dyDescent="0.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row>
    <row r="774" spans="1:33" ht="15.75" customHeight="1" x14ac:dyDescent="0.3">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row>
    <row r="775" spans="1:33" ht="15.75" customHeight="1" x14ac:dyDescent="0.3">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row>
    <row r="776" spans="1:33" ht="15.75" customHeight="1" x14ac:dyDescent="0.3">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row>
    <row r="777" spans="1:33" ht="15.75" customHeight="1" x14ac:dyDescent="0.3">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row>
    <row r="778" spans="1:33" ht="15.75" customHeight="1" x14ac:dyDescent="0.3">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row>
    <row r="779" spans="1:33" ht="15.75" customHeight="1" x14ac:dyDescent="0.3">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row>
    <row r="780" spans="1:33" ht="15.75" customHeight="1" x14ac:dyDescent="0.3">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row>
    <row r="781" spans="1:33" ht="15.75" customHeight="1" x14ac:dyDescent="0.3">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row>
    <row r="782" spans="1:33" ht="15.75" customHeight="1" x14ac:dyDescent="0.3">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row>
    <row r="783" spans="1:33" ht="15.75" customHeight="1" x14ac:dyDescent="0.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row>
    <row r="784" spans="1:33" ht="15.75" customHeight="1" x14ac:dyDescent="0.3">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row>
    <row r="785" spans="1:33" ht="15.75" customHeight="1" x14ac:dyDescent="0.3">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row>
    <row r="786" spans="1:33" ht="15.75" customHeight="1" x14ac:dyDescent="0.3">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row>
    <row r="787" spans="1:33" ht="15.75" customHeight="1" x14ac:dyDescent="0.3">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row>
    <row r="788" spans="1:33" ht="15.75" customHeight="1" x14ac:dyDescent="0.3">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row>
    <row r="789" spans="1:33" ht="15.75" customHeight="1" x14ac:dyDescent="0.3">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row>
    <row r="790" spans="1:33" ht="15.75" customHeight="1" x14ac:dyDescent="0.3">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row>
    <row r="791" spans="1:33" ht="15.75" customHeight="1" x14ac:dyDescent="0.3">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row>
    <row r="792" spans="1:33" ht="15.75" customHeight="1" x14ac:dyDescent="0.3">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row>
    <row r="793" spans="1:33" ht="15.75" customHeight="1" x14ac:dyDescent="0.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row>
    <row r="794" spans="1:33" ht="15.75" customHeight="1" x14ac:dyDescent="0.3">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row>
    <row r="795" spans="1:33" ht="15.75" customHeight="1" x14ac:dyDescent="0.3">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row>
    <row r="796" spans="1:33" ht="15.75" customHeight="1" x14ac:dyDescent="0.3">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row>
    <row r="797" spans="1:33" ht="15.75" customHeight="1" x14ac:dyDescent="0.3">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row>
    <row r="798" spans="1:33" ht="15.75" customHeight="1" x14ac:dyDescent="0.3">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row>
    <row r="799" spans="1:33" ht="15.75" customHeight="1" x14ac:dyDescent="0.3">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row>
    <row r="800" spans="1:33" ht="15.75" customHeight="1" x14ac:dyDescent="0.3">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row>
    <row r="801" spans="1:33" ht="15.75" customHeight="1" x14ac:dyDescent="0.3">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row>
    <row r="802" spans="1:33" ht="15.75" customHeight="1" x14ac:dyDescent="0.3">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row>
    <row r="803" spans="1:33" ht="15.75" customHeight="1" x14ac:dyDescent="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row>
    <row r="804" spans="1:33" ht="15.75" customHeight="1" x14ac:dyDescent="0.3">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row>
    <row r="805" spans="1:33" ht="15.75" customHeight="1" x14ac:dyDescent="0.3">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row>
    <row r="806" spans="1:33" ht="15.75" customHeight="1" x14ac:dyDescent="0.3">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row>
    <row r="807" spans="1:33" ht="15.75" customHeight="1" x14ac:dyDescent="0.3">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row>
    <row r="808" spans="1:33" ht="15.75" customHeight="1" x14ac:dyDescent="0.3">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row>
    <row r="809" spans="1:33" ht="15.75" customHeight="1" x14ac:dyDescent="0.3">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row>
    <row r="810" spans="1:33" ht="15.75" customHeight="1" x14ac:dyDescent="0.3">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row>
    <row r="811" spans="1:33" ht="15.75" customHeight="1" x14ac:dyDescent="0.3">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row>
    <row r="812" spans="1:33" ht="15.75" customHeight="1" x14ac:dyDescent="0.3">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row>
    <row r="813" spans="1:33" ht="15.75" customHeight="1" x14ac:dyDescent="0.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row>
    <row r="814" spans="1:33" ht="15.75" customHeight="1" x14ac:dyDescent="0.3">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row>
    <row r="815" spans="1:33" ht="15.75" customHeight="1" x14ac:dyDescent="0.3">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row>
    <row r="816" spans="1:33" ht="15.75" customHeight="1" x14ac:dyDescent="0.3">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row>
    <row r="817" spans="1:33" ht="15.75" customHeight="1" x14ac:dyDescent="0.3">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row>
    <row r="818" spans="1:33" ht="15.75" customHeight="1" x14ac:dyDescent="0.3">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row>
    <row r="819" spans="1:33" ht="15.75" customHeight="1" x14ac:dyDescent="0.3">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row>
    <row r="820" spans="1:33" ht="15.75" customHeight="1" x14ac:dyDescent="0.3">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row>
    <row r="821" spans="1:33" ht="15.75" customHeight="1" x14ac:dyDescent="0.3">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row>
    <row r="822" spans="1:33" ht="15.75" customHeight="1" x14ac:dyDescent="0.3">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row>
    <row r="823" spans="1:33" ht="15.75" customHeight="1" x14ac:dyDescent="0.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row>
    <row r="824" spans="1:33" ht="15.75" customHeight="1" x14ac:dyDescent="0.3">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row>
    <row r="825" spans="1:33" ht="15.75" customHeight="1" x14ac:dyDescent="0.3">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row>
    <row r="826" spans="1:33" ht="15.75" customHeight="1" x14ac:dyDescent="0.3">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row>
    <row r="827" spans="1:33" ht="15.75" customHeight="1" x14ac:dyDescent="0.3">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row>
    <row r="828" spans="1:33" ht="15.75" customHeight="1" x14ac:dyDescent="0.3">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row>
    <row r="829" spans="1:33" ht="15.75" customHeight="1" x14ac:dyDescent="0.3">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row>
    <row r="830" spans="1:33" ht="15.75" customHeight="1" x14ac:dyDescent="0.3">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row>
    <row r="831" spans="1:33" ht="15.75" customHeight="1" x14ac:dyDescent="0.3">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row>
    <row r="832" spans="1:33" ht="15.75" customHeight="1" x14ac:dyDescent="0.3">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row>
    <row r="833" spans="1:33" ht="15.75" customHeight="1" x14ac:dyDescent="0.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row>
    <row r="834" spans="1:33" ht="15.75" customHeight="1" x14ac:dyDescent="0.3">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row>
    <row r="835" spans="1:33" ht="15.75" customHeight="1" x14ac:dyDescent="0.3">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row>
    <row r="836" spans="1:33" ht="15.75" customHeight="1" x14ac:dyDescent="0.3">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row>
    <row r="837" spans="1:33" ht="15.75" customHeight="1" x14ac:dyDescent="0.3">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row>
    <row r="838" spans="1:33" ht="15.75" customHeight="1" x14ac:dyDescent="0.3">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row>
    <row r="839" spans="1:33" ht="15.75" customHeight="1" x14ac:dyDescent="0.3">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row>
    <row r="840" spans="1:33" ht="15.75" customHeight="1" x14ac:dyDescent="0.3">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row>
    <row r="841" spans="1:33" ht="15.75" customHeight="1" x14ac:dyDescent="0.3">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row>
    <row r="842" spans="1:33" ht="15.75" customHeight="1" x14ac:dyDescent="0.3">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row>
    <row r="843" spans="1:33" ht="15.75" customHeight="1" x14ac:dyDescent="0.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row>
    <row r="844" spans="1:33" ht="15.75" customHeight="1" x14ac:dyDescent="0.3">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row>
    <row r="845" spans="1:33" ht="15.75" customHeight="1" x14ac:dyDescent="0.3">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row>
    <row r="846" spans="1:33" ht="15.75" customHeight="1" x14ac:dyDescent="0.3">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row>
    <row r="847" spans="1:33" ht="15.75" customHeight="1" x14ac:dyDescent="0.3">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row>
    <row r="848" spans="1:33" ht="15.75" customHeight="1" x14ac:dyDescent="0.3">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row>
    <row r="849" spans="1:33" ht="15.75" customHeight="1" x14ac:dyDescent="0.3">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row>
    <row r="850" spans="1:33" ht="15.75" customHeight="1" x14ac:dyDescent="0.3">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row>
    <row r="851" spans="1:33" ht="15.75" customHeight="1" x14ac:dyDescent="0.3">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row>
    <row r="852" spans="1:33" ht="15.75" customHeight="1" x14ac:dyDescent="0.3">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row>
    <row r="853" spans="1:33" ht="15.75" customHeight="1" x14ac:dyDescent="0.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row>
    <row r="854" spans="1:33" ht="15.75" customHeight="1" x14ac:dyDescent="0.3">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row>
    <row r="855" spans="1:33" ht="15.75" customHeight="1" x14ac:dyDescent="0.3">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row>
    <row r="856" spans="1:33" ht="15.75" customHeight="1" x14ac:dyDescent="0.3">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row>
    <row r="857" spans="1:33" ht="15.75" customHeight="1" x14ac:dyDescent="0.3">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row>
    <row r="858" spans="1:33" ht="15.75" customHeight="1" x14ac:dyDescent="0.3">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row>
    <row r="859" spans="1:33" ht="15.75" customHeight="1" x14ac:dyDescent="0.3">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row>
    <row r="860" spans="1:33" ht="15.75" customHeight="1" x14ac:dyDescent="0.3">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row>
    <row r="861" spans="1:33" ht="15.75" customHeight="1" x14ac:dyDescent="0.3">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row>
    <row r="862" spans="1:33" ht="15.75" customHeight="1" x14ac:dyDescent="0.3">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row>
    <row r="863" spans="1:33" ht="15.75" customHeight="1" x14ac:dyDescent="0.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row>
    <row r="864" spans="1:33" ht="15.75" customHeight="1" x14ac:dyDescent="0.3">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row>
    <row r="865" spans="1:33" ht="15.75" customHeight="1" x14ac:dyDescent="0.3">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row>
    <row r="866" spans="1:33" ht="15.75" customHeight="1" x14ac:dyDescent="0.3">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row>
    <row r="867" spans="1:33" ht="15.75" customHeight="1" x14ac:dyDescent="0.3">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row>
    <row r="868" spans="1:33" ht="15.75" customHeight="1" x14ac:dyDescent="0.3">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row>
    <row r="869" spans="1:33" ht="15.75" customHeight="1" x14ac:dyDescent="0.3">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row>
    <row r="870" spans="1:33" ht="15.75" customHeight="1" x14ac:dyDescent="0.3">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row>
    <row r="871" spans="1:33" ht="15.75" customHeight="1" x14ac:dyDescent="0.3">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row>
    <row r="872" spans="1:33" ht="15.75" customHeight="1" x14ac:dyDescent="0.3">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row>
    <row r="873" spans="1:33" ht="15.75" customHeight="1" x14ac:dyDescent="0.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row>
    <row r="874" spans="1:33" ht="15.75" customHeight="1" x14ac:dyDescent="0.3">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row>
    <row r="875" spans="1:33" ht="15.75" customHeight="1" x14ac:dyDescent="0.3">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row>
    <row r="876" spans="1:33" ht="15.75" customHeight="1" x14ac:dyDescent="0.3">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row>
    <row r="877" spans="1:33" ht="15.75" customHeight="1" x14ac:dyDescent="0.3">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row>
    <row r="878" spans="1:33" ht="15.75" customHeight="1" x14ac:dyDescent="0.3">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row>
    <row r="879" spans="1:33" ht="15.75" customHeight="1" x14ac:dyDescent="0.3">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row>
    <row r="880" spans="1:33" ht="15.75" customHeight="1" x14ac:dyDescent="0.3">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row>
    <row r="881" spans="1:33" ht="15.75" customHeight="1" x14ac:dyDescent="0.3">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row>
    <row r="882" spans="1:33" ht="15.75" customHeight="1" x14ac:dyDescent="0.3">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row>
    <row r="883" spans="1:33" ht="15.75" customHeight="1" x14ac:dyDescent="0.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row>
    <row r="884" spans="1:33" ht="15.75" customHeight="1" x14ac:dyDescent="0.3">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row>
    <row r="885" spans="1:33" ht="15.75" customHeight="1" x14ac:dyDescent="0.3">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row>
    <row r="886" spans="1:33" ht="15.75" customHeight="1" x14ac:dyDescent="0.3">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row>
    <row r="887" spans="1:33" ht="15.75" customHeight="1" x14ac:dyDescent="0.3">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row>
    <row r="888" spans="1:33" ht="15.75" customHeight="1" x14ac:dyDescent="0.3">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row>
    <row r="889" spans="1:33" ht="15.75" customHeight="1" x14ac:dyDescent="0.3">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row>
    <row r="890" spans="1:33" ht="15.75" customHeight="1" x14ac:dyDescent="0.3">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row>
    <row r="891" spans="1:33" ht="15.75" customHeight="1" x14ac:dyDescent="0.3">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row>
    <row r="892" spans="1:33" ht="15.75" customHeight="1" x14ac:dyDescent="0.3">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row>
    <row r="893" spans="1:33" ht="15.75" customHeight="1" x14ac:dyDescent="0.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row>
    <row r="894" spans="1:33" ht="15.75" customHeight="1" x14ac:dyDescent="0.3">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row>
    <row r="895" spans="1:33" ht="15.75" customHeight="1" x14ac:dyDescent="0.3">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row>
    <row r="896" spans="1:33" ht="15.75" customHeight="1" x14ac:dyDescent="0.3">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row>
    <row r="897" spans="1:33" ht="15.75" customHeight="1" x14ac:dyDescent="0.3">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row>
    <row r="898" spans="1:33" ht="15.75" customHeight="1" x14ac:dyDescent="0.3">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row>
    <row r="899" spans="1:33" ht="15.75" customHeight="1" x14ac:dyDescent="0.3">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row>
    <row r="900" spans="1:33" ht="15.75" customHeight="1" x14ac:dyDescent="0.3">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row>
    <row r="901" spans="1:33" ht="15.75" customHeight="1" x14ac:dyDescent="0.3">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row>
    <row r="902" spans="1:33" ht="15.75" customHeight="1" x14ac:dyDescent="0.3">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row>
    <row r="903" spans="1:33" ht="15.75" customHeight="1" x14ac:dyDescent="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row>
    <row r="904" spans="1:33" ht="15.75" customHeight="1" x14ac:dyDescent="0.3">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row>
    <row r="905" spans="1:33" ht="15.75" customHeight="1" x14ac:dyDescent="0.3">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row>
    <row r="906" spans="1:33" ht="15.75" customHeight="1" x14ac:dyDescent="0.3">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row>
    <row r="907" spans="1:33" ht="15.75" customHeight="1" x14ac:dyDescent="0.3">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row>
    <row r="908" spans="1:33" ht="15.75" customHeight="1" x14ac:dyDescent="0.3">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row>
    <row r="909" spans="1:33" ht="15.75" customHeight="1" x14ac:dyDescent="0.3">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row>
    <row r="910" spans="1:33" ht="15.75" customHeight="1" x14ac:dyDescent="0.3">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row>
    <row r="911" spans="1:33" ht="15.75" customHeight="1" x14ac:dyDescent="0.3">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row>
    <row r="912" spans="1:33" ht="15.75" customHeight="1" x14ac:dyDescent="0.3">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row>
    <row r="913" spans="1:33" ht="15.75" customHeight="1" x14ac:dyDescent="0.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row>
    <row r="914" spans="1:33" ht="15.75" customHeight="1" x14ac:dyDescent="0.3">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row>
    <row r="915" spans="1:33" ht="15.75" customHeight="1" x14ac:dyDescent="0.3">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row>
    <row r="916" spans="1:33" ht="15.75" customHeight="1" x14ac:dyDescent="0.3">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row>
    <row r="917" spans="1:33" ht="15.75" customHeight="1" x14ac:dyDescent="0.3">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row>
    <row r="918" spans="1:33" ht="15.75" customHeight="1" x14ac:dyDescent="0.3">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row>
    <row r="919" spans="1:33" ht="15.75" customHeight="1" x14ac:dyDescent="0.3">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row>
    <row r="920" spans="1:33" ht="15.75" customHeight="1" x14ac:dyDescent="0.3">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row>
    <row r="921" spans="1:33" ht="15.75" customHeight="1" x14ac:dyDescent="0.3">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row>
    <row r="922" spans="1:33" ht="15.75" customHeight="1" x14ac:dyDescent="0.3">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row>
    <row r="923" spans="1:33" ht="15.75" customHeight="1" x14ac:dyDescent="0.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row>
    <row r="924" spans="1:33" ht="15.75" customHeight="1" x14ac:dyDescent="0.3">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row>
    <row r="925" spans="1:33" ht="15.75" customHeight="1" x14ac:dyDescent="0.3">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row>
    <row r="926" spans="1:33" ht="15.75" customHeight="1" x14ac:dyDescent="0.3">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row>
    <row r="927" spans="1:33" ht="15.75" customHeight="1" x14ac:dyDescent="0.3">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row>
    <row r="928" spans="1:33" ht="15.75" customHeight="1" x14ac:dyDescent="0.3">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row>
    <row r="929" spans="1:33" ht="15.75" customHeight="1" x14ac:dyDescent="0.3">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row>
    <row r="930" spans="1:33" ht="15.75" customHeight="1" x14ac:dyDescent="0.3">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row>
    <row r="931" spans="1:33" ht="15.75" customHeight="1" x14ac:dyDescent="0.3">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row>
    <row r="932" spans="1:33" ht="15.75" customHeight="1" x14ac:dyDescent="0.3">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row>
    <row r="933" spans="1:33" ht="15.75" customHeight="1" x14ac:dyDescent="0.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row>
    <row r="934" spans="1:33" ht="15.75" customHeight="1" x14ac:dyDescent="0.3">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row>
    <row r="935" spans="1:33" ht="15.75" customHeight="1" x14ac:dyDescent="0.3">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row>
    <row r="936" spans="1:33" ht="15.75" customHeight="1" x14ac:dyDescent="0.3">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row>
    <row r="937" spans="1:33" ht="15.75" customHeight="1" x14ac:dyDescent="0.3">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row>
    <row r="938" spans="1:33" ht="15.75" customHeight="1" x14ac:dyDescent="0.3">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row>
    <row r="939" spans="1:33" ht="15.75" customHeight="1" x14ac:dyDescent="0.3">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row>
    <row r="940" spans="1:33" ht="15.75" customHeight="1" x14ac:dyDescent="0.3">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row>
    <row r="941" spans="1:33" ht="15.75" customHeight="1" x14ac:dyDescent="0.3">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row>
    <row r="942" spans="1:33" ht="15.75" customHeight="1" x14ac:dyDescent="0.3">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row>
    <row r="943" spans="1:33" ht="15.75" customHeight="1" x14ac:dyDescent="0.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row>
    <row r="944" spans="1:33" ht="15.75" customHeight="1" x14ac:dyDescent="0.3">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row>
    <row r="945" spans="1:33" ht="15.75" customHeight="1" x14ac:dyDescent="0.3">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row>
    <row r="946" spans="1:33" ht="15.75" customHeight="1" x14ac:dyDescent="0.3">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row>
    <row r="947" spans="1:33" ht="15.75" customHeight="1" x14ac:dyDescent="0.3">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row>
    <row r="948" spans="1:33" ht="15.75" customHeight="1" x14ac:dyDescent="0.3">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row>
    <row r="949" spans="1:33" ht="15.75" customHeight="1" x14ac:dyDescent="0.3">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row>
    <row r="950" spans="1:33" ht="15.75" customHeight="1" x14ac:dyDescent="0.3">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row>
    <row r="951" spans="1:33" ht="15.75" customHeight="1" x14ac:dyDescent="0.3">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row>
    <row r="952" spans="1:33" ht="15.75" customHeight="1" x14ac:dyDescent="0.3">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row>
    <row r="953" spans="1:33" ht="15.75" customHeight="1" x14ac:dyDescent="0.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row>
    <row r="954" spans="1:33" ht="15.75" customHeight="1" x14ac:dyDescent="0.3">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row>
    <row r="955" spans="1:33" ht="15.75" customHeight="1" x14ac:dyDescent="0.3">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row>
    <row r="956" spans="1:33" ht="15.75" customHeight="1" x14ac:dyDescent="0.3">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row>
    <row r="957" spans="1:33" ht="15.75" customHeight="1" x14ac:dyDescent="0.3">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row>
    <row r="958" spans="1:33" ht="15.75" customHeight="1" x14ac:dyDescent="0.3">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row>
    <row r="959" spans="1:33" ht="15.75" customHeight="1" x14ac:dyDescent="0.3">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row>
    <row r="960" spans="1:33" ht="15.75" customHeight="1" x14ac:dyDescent="0.3">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row>
    <row r="961" spans="1:33" ht="15.75" customHeight="1" x14ac:dyDescent="0.3">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row>
    <row r="962" spans="1:33" ht="15.75" customHeight="1" x14ac:dyDescent="0.3">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row>
    <row r="963" spans="1:33" ht="15.75" customHeight="1" x14ac:dyDescent="0.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row>
    <row r="964" spans="1:33" ht="15.75" customHeight="1" x14ac:dyDescent="0.3">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row>
    <row r="965" spans="1:33" ht="15.75" customHeight="1" x14ac:dyDescent="0.3">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row>
    <row r="966" spans="1:33" ht="15.75" customHeight="1" x14ac:dyDescent="0.3">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row>
    <row r="967" spans="1:33" ht="15.75" customHeight="1" x14ac:dyDescent="0.3">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row>
    <row r="968" spans="1:33" ht="15.75" customHeight="1" x14ac:dyDescent="0.3">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row>
    <row r="969" spans="1:33" ht="15.75" customHeight="1" x14ac:dyDescent="0.3">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row>
    <row r="970" spans="1:33" ht="15.75" customHeight="1" x14ac:dyDescent="0.3">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row>
    <row r="971" spans="1:33" ht="15.75" customHeight="1" x14ac:dyDescent="0.3">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row>
    <row r="972" spans="1:33" ht="15.75" customHeight="1" x14ac:dyDescent="0.3">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row>
    <row r="973" spans="1:33" ht="15.75" customHeight="1" x14ac:dyDescent="0.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row>
    <row r="974" spans="1:33" ht="15.75" customHeight="1" x14ac:dyDescent="0.3">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row>
    <row r="975" spans="1:33" ht="15.75" customHeight="1" x14ac:dyDescent="0.3">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row>
    <row r="976" spans="1:33" ht="15.75" customHeight="1" x14ac:dyDescent="0.3">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row>
    <row r="977" spans="1:33" ht="15.75" customHeight="1" x14ac:dyDescent="0.3">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row>
    <row r="978" spans="1:33" ht="15.75" customHeight="1" x14ac:dyDescent="0.3">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row>
    <row r="979" spans="1:33" ht="15.75" customHeight="1" x14ac:dyDescent="0.3">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row>
    <row r="980" spans="1:33" ht="15.75" customHeight="1" x14ac:dyDescent="0.3">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row>
    <row r="981" spans="1:33" ht="15.75" customHeight="1" x14ac:dyDescent="0.3">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row>
    <row r="982" spans="1:33" ht="15.75" customHeight="1" x14ac:dyDescent="0.3">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row>
    <row r="983" spans="1:33" ht="15.75" customHeight="1" x14ac:dyDescent="0.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row>
    <row r="984" spans="1:33" ht="15.75" customHeight="1" x14ac:dyDescent="0.3">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row>
    <row r="985" spans="1:33" ht="15.75" customHeight="1" x14ac:dyDescent="0.3">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row>
    <row r="986" spans="1:33" ht="15.75" customHeight="1" x14ac:dyDescent="0.3">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row>
    <row r="987" spans="1:33" ht="15.75" customHeight="1" x14ac:dyDescent="0.3">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row>
    <row r="988" spans="1:33" ht="15.75" customHeight="1" x14ac:dyDescent="0.3">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row>
    <row r="989" spans="1:33" ht="15.75" customHeight="1" x14ac:dyDescent="0.3">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row>
    <row r="990" spans="1:33" ht="15.75" customHeight="1" x14ac:dyDescent="0.3">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row>
    <row r="991" spans="1:33" ht="15.75" customHeight="1" x14ac:dyDescent="0.3">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row>
    <row r="992" spans="1:33" ht="15.75" customHeight="1" x14ac:dyDescent="0.3">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row>
    <row r="993" spans="1:33" ht="15.75" customHeight="1" x14ac:dyDescent="0.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row>
    <row r="994" spans="1:33" ht="15.75" customHeight="1" x14ac:dyDescent="0.3">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row>
    <row r="995" spans="1:33" ht="15.75" customHeight="1" x14ac:dyDescent="0.3">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row>
    <row r="996" spans="1:33" ht="15.75" customHeight="1" x14ac:dyDescent="0.3">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row>
    <row r="997" spans="1:33" ht="15.75" customHeight="1" x14ac:dyDescent="0.3">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row>
    <row r="998" spans="1:33" ht="15.75" customHeight="1" x14ac:dyDescent="0.3">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row>
    <row r="999" spans="1:33" ht="15.75" customHeight="1" x14ac:dyDescent="0.3">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row>
    <row r="1000" spans="1:33" ht="15.75" customHeight="1" x14ac:dyDescent="0.3">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row>
    <row r="1001" spans="1:33" ht="15.75" customHeight="1" x14ac:dyDescent="0.3">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c r="AC1001" s="55"/>
      <c r="AD1001" s="55"/>
      <c r="AE1001" s="55"/>
      <c r="AF1001" s="55"/>
      <c r="AG1001" s="55"/>
    </row>
    <row r="1002" spans="1:33" ht="15.75" customHeight="1" x14ac:dyDescent="0.3">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c r="AB1002" s="55"/>
      <c r="AC1002" s="55"/>
      <c r="AD1002" s="55"/>
      <c r="AE1002" s="55"/>
      <c r="AF1002" s="55"/>
      <c r="AG1002" s="55"/>
    </row>
  </sheetData>
  <mergeCells count="447">
    <mergeCell ref="U40:U42"/>
    <mergeCell ref="V40:V42"/>
    <mergeCell ref="R37:R39"/>
    <mergeCell ref="S37:S39"/>
    <mergeCell ref="U37:U39"/>
    <mergeCell ref="V37:V39"/>
    <mergeCell ref="R40:R42"/>
    <mergeCell ref="S40:S42"/>
    <mergeCell ref="R46:R48"/>
    <mergeCell ref="S46:S48"/>
    <mergeCell ref="U46:U48"/>
    <mergeCell ref="V46:V48"/>
    <mergeCell ref="S49:S51"/>
    <mergeCell ref="U49:U51"/>
    <mergeCell ref="V49:V51"/>
    <mergeCell ref="R43:R45"/>
    <mergeCell ref="S43:S45"/>
    <mergeCell ref="U43:U45"/>
    <mergeCell ref="V43:V45"/>
    <mergeCell ref="U55:U57"/>
    <mergeCell ref="V55:V57"/>
    <mergeCell ref="R49:R51"/>
    <mergeCell ref="R52:R54"/>
    <mergeCell ref="S52:S54"/>
    <mergeCell ref="U52:U54"/>
    <mergeCell ref="V52:V54"/>
    <mergeCell ref="R55:R57"/>
    <mergeCell ref="S55:S57"/>
    <mergeCell ref="H16:H18"/>
    <mergeCell ref="I16:I18"/>
    <mergeCell ref="U13:U15"/>
    <mergeCell ref="V13:V15"/>
    <mergeCell ref="S22:S24"/>
    <mergeCell ref="U31:U33"/>
    <mergeCell ref="V31:V33"/>
    <mergeCell ref="V34:V36"/>
    <mergeCell ref="U16:U18"/>
    <mergeCell ref="V16:V18"/>
    <mergeCell ref="U19:U21"/>
    <mergeCell ref="V19:V21"/>
    <mergeCell ref="V22:V24"/>
    <mergeCell ref="U22:U24"/>
    <mergeCell ref="U28:U30"/>
    <mergeCell ref="V28:V30"/>
    <mergeCell ref="U34:U36"/>
    <mergeCell ref="S19:S21"/>
    <mergeCell ref="R25:R27"/>
    <mergeCell ref="S25:S27"/>
    <mergeCell ref="U25:U27"/>
    <mergeCell ref="V25:V27"/>
    <mergeCell ref="R22:R24"/>
    <mergeCell ref="J13:K13"/>
    <mergeCell ref="L13:L15"/>
    <mergeCell ref="J14:J15"/>
    <mergeCell ref="K14:K15"/>
    <mergeCell ref="M14:M15"/>
    <mergeCell ref="N14:N15"/>
    <mergeCell ref="O14:O15"/>
    <mergeCell ref="P14:P15"/>
    <mergeCell ref="J19:J21"/>
    <mergeCell ref="K19:K21"/>
    <mergeCell ref="R19:R21"/>
    <mergeCell ref="M13:Q13"/>
    <mergeCell ref="R13:R16"/>
    <mergeCell ref="Q14:Q15"/>
    <mergeCell ref="B1:V1"/>
    <mergeCell ref="B2:V2"/>
    <mergeCell ref="B3:V3"/>
    <mergeCell ref="B4:E4"/>
    <mergeCell ref="F4:M4"/>
    <mergeCell ref="B5:E5"/>
    <mergeCell ref="F5:M5"/>
    <mergeCell ref="B6:E6"/>
    <mergeCell ref="F6:M6"/>
    <mergeCell ref="O4:V4"/>
    <mergeCell ref="O5:V5"/>
    <mergeCell ref="O6:V6"/>
    <mergeCell ref="B19:B21"/>
    <mergeCell ref="C19:C21"/>
    <mergeCell ref="D19:D21"/>
    <mergeCell ref="E19:E21"/>
    <mergeCell ref="B10:V10"/>
    <mergeCell ref="B12:R12"/>
    <mergeCell ref="S12:V12"/>
    <mergeCell ref="B7:E7"/>
    <mergeCell ref="F7:M7"/>
    <mergeCell ref="B8:E8"/>
    <mergeCell ref="F8:V8"/>
    <mergeCell ref="B9:V9"/>
    <mergeCell ref="B13:E13"/>
    <mergeCell ref="S13:S15"/>
    <mergeCell ref="T13:T15"/>
    <mergeCell ref="B16:B18"/>
    <mergeCell ref="F13:G15"/>
    <mergeCell ref="H13:H15"/>
    <mergeCell ref="I13:I15"/>
    <mergeCell ref="B14:B15"/>
    <mergeCell ref="C14:E14"/>
    <mergeCell ref="E16:E18"/>
    <mergeCell ref="F16:F18"/>
    <mergeCell ref="G16:G18"/>
    <mergeCell ref="E22:E24"/>
    <mergeCell ref="F22:G24"/>
    <mergeCell ref="H22:H24"/>
    <mergeCell ref="I22:I24"/>
    <mergeCell ref="C22:C24"/>
    <mergeCell ref="D22:D24"/>
    <mergeCell ref="E25:E27"/>
    <mergeCell ref="J40:J42"/>
    <mergeCell ref="H34:H36"/>
    <mergeCell ref="I34:I36"/>
    <mergeCell ref="J34:J36"/>
    <mergeCell ref="I37:I39"/>
    <mergeCell ref="J37:J39"/>
    <mergeCell ref="J31:J33"/>
    <mergeCell ref="C25:C27"/>
    <mergeCell ref="D25:D27"/>
    <mergeCell ref="J22:J24"/>
    <mergeCell ref="B28:B36"/>
    <mergeCell ref="E28:E36"/>
    <mergeCell ref="H28:H30"/>
    <mergeCell ref="I31:I33"/>
    <mergeCell ref="H37:H39"/>
    <mergeCell ref="H40:H42"/>
    <mergeCell ref="I40:I42"/>
    <mergeCell ref="D37:D39"/>
    <mergeCell ref="E37:E39"/>
    <mergeCell ref="D40:D42"/>
    <mergeCell ref="E40:E42"/>
    <mergeCell ref="F31:G33"/>
    <mergeCell ref="H31:H33"/>
    <mergeCell ref="K31:K33"/>
    <mergeCell ref="F28:G30"/>
    <mergeCell ref="F34:G36"/>
    <mergeCell ref="F37:G39"/>
    <mergeCell ref="F40:G42"/>
    <mergeCell ref="F19:G21"/>
    <mergeCell ref="H19:H21"/>
    <mergeCell ref="I19:I21"/>
    <mergeCell ref="K40:K42"/>
    <mergeCell ref="K34:K36"/>
    <mergeCell ref="K37:K39"/>
    <mergeCell ref="F25:G27"/>
    <mergeCell ref="H25:H27"/>
    <mergeCell ref="I25:I27"/>
    <mergeCell ref="J25:J27"/>
    <mergeCell ref="K25:K27"/>
    <mergeCell ref="I28:I30"/>
    <mergeCell ref="J28:J30"/>
    <mergeCell ref="K28:K30"/>
    <mergeCell ref="K22:K24"/>
    <mergeCell ref="F134:G136"/>
    <mergeCell ref="D151:F152"/>
    <mergeCell ref="D153:F153"/>
    <mergeCell ref="B137:E145"/>
    <mergeCell ref="F137:G139"/>
    <mergeCell ref="F140:G142"/>
    <mergeCell ref="F143:G145"/>
    <mergeCell ref="B146:U146"/>
    <mergeCell ref="B122:E124"/>
    <mergeCell ref="B125:E127"/>
    <mergeCell ref="F125:I127"/>
    <mergeCell ref="J125:J127"/>
    <mergeCell ref="K125:K127"/>
    <mergeCell ref="B128:E136"/>
    <mergeCell ref="K131:K133"/>
    <mergeCell ref="K143:K145"/>
    <mergeCell ref="I151:L152"/>
    <mergeCell ref="N151:O152"/>
    <mergeCell ref="I153:L153"/>
    <mergeCell ref="N153:O153"/>
    <mergeCell ref="H143:H145"/>
    <mergeCell ref="I143:I145"/>
    <mergeCell ref="J134:J136"/>
    <mergeCell ref="K134:K136"/>
    <mergeCell ref="B119:E121"/>
    <mergeCell ref="F119:I121"/>
    <mergeCell ref="J119:J121"/>
    <mergeCell ref="K119:K121"/>
    <mergeCell ref="F122:I124"/>
    <mergeCell ref="J122:J124"/>
    <mergeCell ref="K122:K124"/>
    <mergeCell ref="F131:G133"/>
    <mergeCell ref="H131:H133"/>
    <mergeCell ref="I131:I133"/>
    <mergeCell ref="J131:J133"/>
    <mergeCell ref="F128:G130"/>
    <mergeCell ref="J137:J139"/>
    <mergeCell ref="K137:K139"/>
    <mergeCell ref="J140:J142"/>
    <mergeCell ref="K140:K142"/>
    <mergeCell ref="J143:J145"/>
    <mergeCell ref="H128:H130"/>
    <mergeCell ref="I128:I130"/>
    <mergeCell ref="J128:J130"/>
    <mergeCell ref="K128:K130"/>
    <mergeCell ref="H134:H136"/>
    <mergeCell ref="I134:I136"/>
    <mergeCell ref="H137:H139"/>
    <mergeCell ref="I137:I139"/>
    <mergeCell ref="H140:H142"/>
    <mergeCell ref="I140:I142"/>
    <mergeCell ref="B112:U112"/>
    <mergeCell ref="B114:R114"/>
    <mergeCell ref="M117:Q117"/>
    <mergeCell ref="R117:R118"/>
    <mergeCell ref="U117:U118"/>
    <mergeCell ref="V117:V118"/>
    <mergeCell ref="B116:R116"/>
    <mergeCell ref="S116:V116"/>
    <mergeCell ref="B117:E118"/>
    <mergeCell ref="F117:I118"/>
    <mergeCell ref="J117:J118"/>
    <mergeCell ref="K117:K118"/>
    <mergeCell ref="L117:L118"/>
    <mergeCell ref="U119:U121"/>
    <mergeCell ref="U122:U124"/>
    <mergeCell ref="U131:U133"/>
    <mergeCell ref="V131:V133"/>
    <mergeCell ref="U134:U136"/>
    <mergeCell ref="V134:V136"/>
    <mergeCell ref="S117:S118"/>
    <mergeCell ref="T117:T118"/>
    <mergeCell ref="R119:R121"/>
    <mergeCell ref="S119:S121"/>
    <mergeCell ref="V119:V121"/>
    <mergeCell ref="S122:S124"/>
    <mergeCell ref="V122:V124"/>
    <mergeCell ref="R122:R124"/>
    <mergeCell ref="R125:R127"/>
    <mergeCell ref="S125:S127"/>
    <mergeCell ref="U125:U127"/>
    <mergeCell ref="V125:V127"/>
    <mergeCell ref="U128:U130"/>
    <mergeCell ref="V128:V130"/>
    <mergeCell ref="F107:G109"/>
    <mergeCell ref="H107:H109"/>
    <mergeCell ref="I107:I109"/>
    <mergeCell ref="J107:J109"/>
    <mergeCell ref="K107:K109"/>
    <mergeCell ref="F92:G94"/>
    <mergeCell ref="H92:H94"/>
    <mergeCell ref="B95:E103"/>
    <mergeCell ref="F95:G97"/>
    <mergeCell ref="H95:H97"/>
    <mergeCell ref="H98:H100"/>
    <mergeCell ref="B104:E111"/>
    <mergeCell ref="F110:G111"/>
    <mergeCell ref="H110:H111"/>
    <mergeCell ref="I110:I111"/>
    <mergeCell ref="J110:J111"/>
    <mergeCell ref="K110:K111"/>
    <mergeCell ref="F101:G103"/>
    <mergeCell ref="H101:H103"/>
    <mergeCell ref="I101:I103"/>
    <mergeCell ref="J101:J103"/>
    <mergeCell ref="K101:K103"/>
    <mergeCell ref="F98:G100"/>
    <mergeCell ref="F104:G106"/>
    <mergeCell ref="I104:I106"/>
    <mergeCell ref="J104:J106"/>
    <mergeCell ref="K104:K106"/>
    <mergeCell ref="H104:H106"/>
    <mergeCell ref="I92:I94"/>
    <mergeCell ref="J92:J94"/>
    <mergeCell ref="I95:I97"/>
    <mergeCell ref="J95:J97"/>
    <mergeCell ref="K95:K97"/>
    <mergeCell ref="I98:I100"/>
    <mergeCell ref="J98:J100"/>
    <mergeCell ref="K98:K100"/>
    <mergeCell ref="B89:E91"/>
    <mergeCell ref="F89:G91"/>
    <mergeCell ref="H89:H91"/>
    <mergeCell ref="I89:I91"/>
    <mergeCell ref="J89:J91"/>
    <mergeCell ref="K89:K91"/>
    <mergeCell ref="B92:E94"/>
    <mergeCell ref="K92:K94"/>
    <mergeCell ref="V83:V85"/>
    <mergeCell ref="S86:S88"/>
    <mergeCell ref="V86:V88"/>
    <mergeCell ref="B83:E85"/>
    <mergeCell ref="B86:E88"/>
    <mergeCell ref="F86:G88"/>
    <mergeCell ref="H86:H88"/>
    <mergeCell ref="I86:I88"/>
    <mergeCell ref="J86:J88"/>
    <mergeCell ref="K86:K88"/>
    <mergeCell ref="F83:G85"/>
    <mergeCell ref="H83:H85"/>
    <mergeCell ref="I83:I85"/>
    <mergeCell ref="J83:J85"/>
    <mergeCell ref="K83:K85"/>
    <mergeCell ref="R86:R88"/>
    <mergeCell ref="M81:Q81"/>
    <mergeCell ref="R81:R82"/>
    <mergeCell ref="U81:U82"/>
    <mergeCell ref="V81:V82"/>
    <mergeCell ref="B76:Q76"/>
    <mergeCell ref="R76:U76"/>
    <mergeCell ref="B79:V79"/>
    <mergeCell ref="B80:R80"/>
    <mergeCell ref="S80:V80"/>
    <mergeCell ref="B81:E82"/>
    <mergeCell ref="F81:G82"/>
    <mergeCell ref="S81:S82"/>
    <mergeCell ref="T81:T82"/>
    <mergeCell ref="V70:V72"/>
    <mergeCell ref="R73:R75"/>
    <mergeCell ref="S73:S75"/>
    <mergeCell ref="U73:U75"/>
    <mergeCell ref="R58:R60"/>
    <mergeCell ref="S58:S60"/>
    <mergeCell ref="U58:U60"/>
    <mergeCell ref="V58:V60"/>
    <mergeCell ref="S61:S63"/>
    <mergeCell ref="U61:U63"/>
    <mergeCell ref="V61:V63"/>
    <mergeCell ref="R61:R63"/>
    <mergeCell ref="R64:R66"/>
    <mergeCell ref="S64:S66"/>
    <mergeCell ref="U64:U66"/>
    <mergeCell ref="V64:V66"/>
    <mergeCell ref="V73:V75"/>
    <mergeCell ref="R67:R69"/>
    <mergeCell ref="S67:S69"/>
    <mergeCell ref="U67:U69"/>
    <mergeCell ref="V67:V69"/>
    <mergeCell ref="R70:R72"/>
    <mergeCell ref="S70:S72"/>
    <mergeCell ref="U70:U72"/>
    <mergeCell ref="U95:U97"/>
    <mergeCell ref="U98:U100"/>
    <mergeCell ref="U101:U103"/>
    <mergeCell ref="V98:V100"/>
    <mergeCell ref="V101:V103"/>
    <mergeCell ref="U83:U85"/>
    <mergeCell ref="U86:U88"/>
    <mergeCell ref="U89:U91"/>
    <mergeCell ref="V89:V91"/>
    <mergeCell ref="U92:U94"/>
    <mergeCell ref="V92:V94"/>
    <mergeCell ref="V95:V97"/>
    <mergeCell ref="R89:R91"/>
    <mergeCell ref="S89:S91"/>
    <mergeCell ref="R92:R94"/>
    <mergeCell ref="S92:S94"/>
    <mergeCell ref="R83:R85"/>
    <mergeCell ref="S83:S85"/>
    <mergeCell ref="F58:G60"/>
    <mergeCell ref="H58:H60"/>
    <mergeCell ref="I58:I60"/>
    <mergeCell ref="J58:J60"/>
    <mergeCell ref="K58:K60"/>
    <mergeCell ref="J81:K81"/>
    <mergeCell ref="L81:L82"/>
    <mergeCell ref="H81:H82"/>
    <mergeCell ref="I81:I82"/>
    <mergeCell ref="F67:G69"/>
    <mergeCell ref="H67:H69"/>
    <mergeCell ref="I67:I69"/>
    <mergeCell ref="J67:J69"/>
    <mergeCell ref="K67:K69"/>
    <mergeCell ref="F70:G72"/>
    <mergeCell ref="H70:H72"/>
    <mergeCell ref="I70:I72"/>
    <mergeCell ref="J70:J72"/>
    <mergeCell ref="K52:K54"/>
    <mergeCell ref="D49:D51"/>
    <mergeCell ref="E49:E51"/>
    <mergeCell ref="F49:G51"/>
    <mergeCell ref="H49:H51"/>
    <mergeCell ref="I49:I51"/>
    <mergeCell ref="J49:J51"/>
    <mergeCell ref="K49:K51"/>
    <mergeCell ref="C55:C57"/>
    <mergeCell ref="D55:D57"/>
    <mergeCell ref="F55:G57"/>
    <mergeCell ref="H55:H57"/>
    <mergeCell ref="I55:I57"/>
    <mergeCell ref="J55:J57"/>
    <mergeCell ref="K55:K57"/>
    <mergeCell ref="C52:C54"/>
    <mergeCell ref="F52:G54"/>
    <mergeCell ref="H52:H54"/>
    <mergeCell ref="I52:I54"/>
    <mergeCell ref="J52:J54"/>
    <mergeCell ref="C49:C51"/>
    <mergeCell ref="J43:J45"/>
    <mergeCell ref="K43:K45"/>
    <mergeCell ref="D46:D48"/>
    <mergeCell ref="E46:E48"/>
    <mergeCell ref="F46:G48"/>
    <mergeCell ref="H46:H48"/>
    <mergeCell ref="I46:I48"/>
    <mergeCell ref="J46:J48"/>
    <mergeCell ref="K46:K48"/>
    <mergeCell ref="E43:E45"/>
    <mergeCell ref="E70:E72"/>
    <mergeCell ref="B37:B48"/>
    <mergeCell ref="C37:C39"/>
    <mergeCell ref="K70:K72"/>
    <mergeCell ref="F73:G75"/>
    <mergeCell ref="H73:H75"/>
    <mergeCell ref="I73:I75"/>
    <mergeCell ref="J73:J75"/>
    <mergeCell ref="K73:K75"/>
    <mergeCell ref="I64:I66"/>
    <mergeCell ref="J64:J66"/>
    <mergeCell ref="F61:G63"/>
    <mergeCell ref="H61:H63"/>
    <mergeCell ref="I61:I63"/>
    <mergeCell ref="J61:J63"/>
    <mergeCell ref="K61:K63"/>
    <mergeCell ref="H64:H66"/>
    <mergeCell ref="K64:K66"/>
    <mergeCell ref="F64:G66"/>
    <mergeCell ref="C43:C45"/>
    <mergeCell ref="D43:D45"/>
    <mergeCell ref="F43:G45"/>
    <mergeCell ref="H43:H45"/>
    <mergeCell ref="I43:I45"/>
    <mergeCell ref="C61:C63"/>
    <mergeCell ref="D61:D63"/>
    <mergeCell ref="E61:E63"/>
    <mergeCell ref="C73:C75"/>
    <mergeCell ref="D73:D75"/>
    <mergeCell ref="E73:E75"/>
    <mergeCell ref="C40:C42"/>
    <mergeCell ref="C46:C48"/>
    <mergeCell ref="B49:B60"/>
    <mergeCell ref="D52:D54"/>
    <mergeCell ref="E52:E54"/>
    <mergeCell ref="E55:E57"/>
    <mergeCell ref="B61:B75"/>
    <mergeCell ref="C58:C60"/>
    <mergeCell ref="D58:D60"/>
    <mergeCell ref="E58:E60"/>
    <mergeCell ref="C64:C66"/>
    <mergeCell ref="D64:D66"/>
    <mergeCell ref="E64:E66"/>
    <mergeCell ref="C67:C69"/>
    <mergeCell ref="D67:D69"/>
    <mergeCell ref="E67:E69"/>
    <mergeCell ref="C70:C72"/>
    <mergeCell ref="D70:D72"/>
  </mergeCells>
  <printOptions horizontalCentered="1"/>
  <pageMargins left="8.5227272727272721E-2" right="0" top="0.78740157480314998" bottom="0.19886363636363635" header="0" footer="0"/>
  <pageSetup paperSize="9" scale="30" fitToHeight="0" orientation="landscape" r:id="rId1"/>
  <rowBreaks count="7" manualBreakCount="7">
    <brk id="21" min="1" max="21" man="1"/>
    <brk id="45" min="1" max="21" man="1"/>
    <brk id="51" min="1" max="21" man="1"/>
    <brk id="63" min="1" max="21" man="1"/>
    <brk id="77" min="1" max="21" man="1"/>
    <brk id="91" min="1" max="21" man="1"/>
    <brk id="121" min="1" max="21"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PART I (CY 2025 &amp; SY2025-2026)</vt:lpstr>
      <vt:lpstr>'PART I (CY 2025 &amp; SY2025-2026)'!Print_Area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Cyberthon De Asis</dc:creator>
  <cp:lastModifiedBy>John Kenneth Ang</cp:lastModifiedBy>
  <cp:lastPrinted>2026-05-20T05:55:29Z</cp:lastPrinted>
  <dcterms:created xsi:type="dcterms:W3CDTF">2025-09-26T11:02:48Z</dcterms:created>
  <dcterms:modified xsi:type="dcterms:W3CDTF">2026-09-30T05:57:46Z</dcterms:modified>
</cp:coreProperties>
</file>